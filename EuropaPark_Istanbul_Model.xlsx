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" sheetId="2" state="visible" r:id="rId4"/>
    <sheet name="CapEx" sheetId="3" state="visible" r:id="rId5"/>
    <sheet name="Debt" sheetId="4" state="visible" r:id="rId6"/>
    <sheet name="WorkingCapital" sheetId="5" state="visible" r:id="rId7"/>
    <sheet name="HR" sheetId="6" state="visible" r:id="rId8"/>
    <sheet name="Marketing" sheetId="7" state="visible" r:id="rId9"/>
    <sheet name="Statements" sheetId="8" state="visible" r:id="rId10"/>
    <sheet name="InvestCriteria" sheetId="9" state="visible" r:id="rId11"/>
    <sheet name="Scenari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<sst xmlns="http://schemas.openxmlformats.org/spreadsheetml/2006/main" count="251" uniqueCount="234">
  <si>
    <t xml:space="preserve">Europa-Park Istanbul — Key Assumptions</t>
  </si>
  <si>
    <t xml:space="preserve">All monetary values in €M (millions of euros)</t>
  </si>
  <si>
    <t xml:space="preserve">GENERAL</t>
  </si>
  <si>
    <t xml:space="preserve">Construction start year</t>
  </si>
  <si>
    <t xml:space="preserve">Park opening year</t>
  </si>
  <si>
    <t xml:space="preserve">Projection end year</t>
  </si>
  <si>
    <t xml:space="preserve">REVENUE ASSUMPTIONS</t>
  </si>
  <si>
    <t xml:space="preserve">Target annual visitors (millions)</t>
  </si>
  <si>
    <t xml:space="preserve">At full ramp-up</t>
  </si>
  <si>
    <t xml:space="preserve">Ramp-up Year 1 (2028) — % of target</t>
  </si>
  <si>
    <t xml:space="preserve">Ramp-up Year 2 (2029)</t>
  </si>
  <si>
    <t xml:space="preserve">Ramp-up Year 3 (2030)</t>
  </si>
  <si>
    <t xml:space="preserve">Ramp-up Year 4 (2031)</t>
  </si>
  <si>
    <t xml:space="preserve">Ramp-up Year 5 (2032)</t>
  </si>
  <si>
    <t xml:space="preserve">Ramp-up Year 6 (2033)</t>
  </si>
  <si>
    <t xml:space="preserve">Average ticket price (€)</t>
  </si>
  <si>
    <t xml:space="preserve">Blended adult/child/group</t>
  </si>
  <si>
    <t xml:space="preserve">Per capita in-park spend (€)</t>
  </si>
  <si>
    <t xml:space="preserve">F&amp;B + merchandise + other</t>
  </si>
  <si>
    <t xml:space="preserve">Hotel avg nightly rate (€)</t>
  </si>
  <si>
    <t xml:space="preserve">Number of hotel rooms</t>
  </si>
  <si>
    <t xml:space="preserve">Hotel occupancy rate</t>
  </si>
  <si>
    <t xml:space="preserve">Annual price escalation</t>
  </si>
  <si>
    <t xml:space="preserve">COST ASSUMPTIONS</t>
  </si>
  <si>
    <t xml:space="preserve">COGS as % of revenue</t>
  </si>
  <si>
    <t xml:space="preserve">F&amp;B supplies, ride ops, merch cost</t>
  </si>
  <si>
    <t xml:space="preserve">Operating expenses as % of revenue</t>
  </si>
  <si>
    <t xml:space="preserve">Excl. depreciation, HR &amp; marketing shown separately</t>
  </si>
  <si>
    <t xml:space="preserve">Annual OpEx efficiency gain</t>
  </si>
  <si>
    <t xml:space="preserve">Slight margin improvement over time</t>
  </si>
  <si>
    <t xml:space="preserve">INVESTMENT (€M)</t>
  </si>
  <si>
    <t xml:space="preserve">Total initial investment</t>
  </si>
  <si>
    <t xml:space="preserve">  Land acquisition</t>
  </si>
  <si>
    <t xml:space="preserve">Not depreciated</t>
  </si>
  <si>
    <t xml:space="preserve">  Construction &amp; infrastructure</t>
  </si>
  <si>
    <t xml:space="preserve">  Rides &amp; attractions</t>
  </si>
  <si>
    <t xml:space="preserve">  Hotels (2,000 rooms)</t>
  </si>
  <si>
    <t xml:space="preserve">  Pre-opening costs</t>
  </si>
  <si>
    <t xml:space="preserve">Marketing, staffing, tech</t>
  </si>
  <si>
    <t xml:space="preserve">CapEx phasing: 2026 (% of total)</t>
  </si>
  <si>
    <t xml:space="preserve">CapEx phasing: 2027 (% of total)</t>
  </si>
  <si>
    <t xml:space="preserve">CapEx phasing: 2028 (% of total)</t>
  </si>
  <si>
    <t xml:space="preserve">Maintenance CapEx (% of revenue)</t>
  </si>
  <si>
    <t xml:space="preserve">Annual reinvestment from 2029</t>
  </si>
  <si>
    <t xml:space="preserve">FINANCING</t>
  </si>
  <si>
    <t xml:space="preserve">Debt ratio (% of investment)</t>
  </si>
  <si>
    <t xml:space="preserve">Equity ratio (% of investment)</t>
  </si>
  <si>
    <t xml:space="preserve">Interest rate on debt</t>
  </si>
  <si>
    <t xml:space="preserve">Blended rate</t>
  </si>
  <si>
    <t xml:space="preserve">Debt repayment start year</t>
  </si>
  <si>
    <t xml:space="preserve">Loan term (years)</t>
  </si>
  <si>
    <t xml:space="preserve">WORKING CAPITAL</t>
  </si>
  <si>
    <t xml:space="preserve">Days receivable</t>
  </si>
  <si>
    <t xml:space="preserve">Days inventory</t>
  </si>
  <si>
    <t xml:space="preserve">Days payable</t>
  </si>
  <si>
    <t xml:space="preserve">TAX &amp; DEPRECIATION</t>
  </si>
  <si>
    <t xml:space="preserve">Corporate tax rate (Turkey)</t>
  </si>
  <si>
    <t xml:space="preserve">Depreciation period (years)</t>
  </si>
  <si>
    <t xml:space="preserve">Straight-line; land excluded</t>
  </si>
  <si>
    <t xml:space="preserve">Dividend payout ratio</t>
  </si>
  <si>
    <t xml:space="preserve">0% initially — all earnings retained</t>
  </si>
  <si>
    <t xml:space="preserve">WACC INPUTS</t>
  </si>
  <si>
    <t xml:space="preserve">Cost of equity (expected return)</t>
  </si>
  <si>
    <t xml:space="preserve">Risk premium for emerging market</t>
  </si>
  <si>
    <t xml:space="preserve">Cost of debt (pre-tax)</t>
  </si>
  <si>
    <t xml:space="preserve">Same as interest rate</t>
  </si>
  <si>
    <t xml:space="preserve">WACC</t>
  </si>
  <si>
    <t xml:space="preserve">Calculated</t>
  </si>
  <si>
    <t xml:space="preserve">Initial cash reserve (€M)</t>
  </si>
  <si>
    <t xml:space="preserve">To cover pre-opening losses &amp; working capital</t>
  </si>
  <si>
    <t xml:space="preserve">Revenue Build-Up (€M)</t>
  </si>
  <si>
    <t xml:space="preserve">Visitors (millions)</t>
  </si>
  <si>
    <t xml:space="preserve">Price escalation factor</t>
  </si>
  <si>
    <t xml:space="preserve">Ticket Revenue</t>
  </si>
  <si>
    <t xml:space="preserve">In-Park Revenue (F&amp;B, Merch)</t>
  </si>
  <si>
    <t xml:space="preserve">Hotel Revenue</t>
  </si>
  <si>
    <t xml:space="preserve">Total Revenue</t>
  </si>
  <si>
    <t xml:space="preserve">Capital Expenditure Schedule (€M)</t>
  </si>
  <si>
    <t xml:space="preserve">CapEx Schedule (€M)</t>
  </si>
  <si>
    <t xml:space="preserve">INITIAL INVESTMENT</t>
  </si>
  <si>
    <t xml:space="preserve">Land acquisition</t>
  </si>
  <si>
    <t xml:space="preserve">Construction &amp; infrastructure</t>
  </si>
  <si>
    <t xml:space="preserve">Rides &amp; attractions</t>
  </si>
  <si>
    <t xml:space="preserve">Hotels</t>
  </si>
  <si>
    <t xml:space="preserve">Pre-opening costs</t>
  </si>
  <si>
    <t xml:space="preserve">Total Initial CapEx</t>
  </si>
  <si>
    <t xml:space="preserve">Maintenance CapEx</t>
  </si>
  <si>
    <t xml:space="preserve">TOTAL CAPEX</t>
  </si>
  <si>
    <t xml:space="preserve">Depreciation Schedule (€M)</t>
  </si>
  <si>
    <t xml:space="preserve">Depreciable base (excl. land)</t>
  </si>
  <si>
    <t xml:space="preserve">Annual depreciation (initial)</t>
  </si>
  <si>
    <t xml:space="preserve">Depreciation — initial assets</t>
  </si>
  <si>
    <t xml:space="preserve">Depreciation — maintenance CapEx</t>
  </si>
  <si>
    <t xml:space="preserve">Total Depreciation</t>
  </si>
  <si>
    <t xml:space="preserve">PP&amp;E Schedule (€M)</t>
  </si>
  <si>
    <t xml:space="preserve">Beginning gross PP&amp;E</t>
  </si>
  <si>
    <t xml:space="preserve">+ CapEx additions</t>
  </si>
  <si>
    <t xml:space="preserve">Ending gross PP&amp;E</t>
  </si>
  <si>
    <t xml:space="preserve">Beginning accum. depreciation</t>
  </si>
  <si>
    <t xml:space="preserve">Ending accum. depreciation</t>
  </si>
  <si>
    <t xml:space="preserve">Net PP&amp;E</t>
  </si>
  <si>
    <t xml:space="preserve">Debt Schedule (€M)</t>
  </si>
  <si>
    <t xml:space="preserve">Total debt amount</t>
  </si>
  <si>
    <t xml:space="preserve">Annual repayment amount</t>
  </si>
  <si>
    <t xml:space="preserve">Beginning balance</t>
  </si>
  <si>
    <t xml:space="preserve">+ Drawdowns</t>
  </si>
  <si>
    <t xml:space="preserve">- Principal repayment</t>
  </si>
  <si>
    <t xml:space="preserve">Ending balance</t>
  </si>
  <si>
    <t xml:space="preserve">Interest expense</t>
  </si>
  <si>
    <t xml:space="preserve">Current portion of LTD</t>
  </si>
  <si>
    <t xml:space="preserve">Long-term portion</t>
  </si>
  <si>
    <t xml:space="preserve">Working Capital Schedule (€M)</t>
  </si>
  <si>
    <t xml:space="preserve">Working Capital (€M)</t>
  </si>
  <si>
    <t xml:space="preserve">Revenue (reference)</t>
  </si>
  <si>
    <t xml:space="preserve">COGS (reference)</t>
  </si>
  <si>
    <t xml:space="preserve">Accounts Receivable</t>
  </si>
  <si>
    <t xml:space="preserve">Inventory</t>
  </si>
  <si>
    <t xml:space="preserve">Accounts Payable</t>
  </si>
  <si>
    <t xml:space="preserve">Net Working Capital</t>
  </si>
  <si>
    <t xml:space="preserve">Change in Working Capital</t>
  </si>
  <si>
    <t xml:space="preserve">Human Resources Plan (€M)</t>
  </si>
  <si>
    <t xml:space="preserve">Headcount &amp; Labor Cost (€M)</t>
  </si>
  <si>
    <t xml:space="preserve">HEADCOUNT BY DEPARTMENT</t>
  </si>
  <si>
    <t xml:space="preserve">Operations &amp; ride staff</t>
  </si>
  <si>
    <t xml:space="preserve">F&amp;B staff</t>
  </si>
  <si>
    <t xml:space="preserve">Hotel staff</t>
  </si>
  <si>
    <t xml:space="preserve">Maintenance &amp; technical</t>
  </si>
  <si>
    <t xml:space="preserve">Security</t>
  </si>
  <si>
    <t xml:space="preserve">Marketing &amp; sales</t>
  </si>
  <si>
    <t xml:space="preserve">Administration &amp; management</t>
  </si>
  <si>
    <t xml:space="preserve">Total Headcount</t>
  </si>
  <si>
    <t xml:space="preserve">COST PER EMPLOYEE (€M)</t>
  </si>
  <si>
    <t xml:space="preserve">Avg employer cost per employee (€/year)</t>
  </si>
  <si>
    <t xml:space="preserve">Total Labor Cost (€M)</t>
  </si>
  <si>
    <t xml:space="preserve">Marketing Cost Plan (€M)</t>
  </si>
  <si>
    <t xml:space="preserve">Marketing Budget (€M)</t>
  </si>
  <si>
    <t xml:space="preserve">Pre-launch brand campaign</t>
  </si>
  <si>
    <t xml:space="preserve">Digital marketing</t>
  </si>
  <si>
    <t xml:space="preserve">Traditional media (TV, print, OOH)</t>
  </si>
  <si>
    <t xml:space="preserve">Partnerships &amp; travel agencies</t>
  </si>
  <si>
    <t xml:space="preserve">Events &amp; PR</t>
  </si>
  <si>
    <t xml:space="preserve">CRM &amp; loyalty programs</t>
  </si>
  <si>
    <t xml:space="preserve">Total Marketing Cost (€M)</t>
  </si>
  <si>
    <t xml:space="preserve">Marketing as % of Revenue</t>
  </si>
  <si>
    <t xml:space="preserve">Pro Forma Financial Statements (€M)</t>
  </si>
  <si>
    <t xml:space="preserve">Income Statement (€M)</t>
  </si>
  <si>
    <t xml:space="preserve">Revenue</t>
  </si>
  <si>
    <t xml:space="preserve">COGS</t>
  </si>
  <si>
    <t xml:space="preserve">Gross Profit</t>
  </si>
  <si>
    <t xml:space="preserve">Operating expenses</t>
  </si>
  <si>
    <t xml:space="preserve">Depreciation &amp; amortization</t>
  </si>
  <si>
    <t xml:space="preserve">Labor costs</t>
  </si>
  <si>
    <t xml:space="preserve">Marketing costs</t>
  </si>
  <si>
    <t xml:space="preserve">Operating Income (EBIT)</t>
  </si>
  <si>
    <t xml:space="preserve">Interest expenses</t>
  </si>
  <si>
    <t xml:space="preserve">Pretax Income</t>
  </si>
  <si>
    <t xml:space="preserve">Income Tax Expense</t>
  </si>
  <si>
    <t xml:space="preserve">Net Income</t>
  </si>
  <si>
    <t xml:space="preserve">Balance Sheet (€M)</t>
  </si>
  <si>
    <t xml:space="preserve">Cash</t>
  </si>
  <si>
    <t xml:space="preserve">Total Current Assets</t>
  </si>
  <si>
    <t xml:space="preserve">Other Non-Current Assets</t>
  </si>
  <si>
    <t xml:space="preserve">Total Non-Current Assets</t>
  </si>
  <si>
    <t xml:space="preserve">TOTAL ASSETS</t>
  </si>
  <si>
    <t xml:space="preserve">Accrued Liabilities</t>
  </si>
  <si>
    <t xml:space="preserve">Current Portion of LTD</t>
  </si>
  <si>
    <t xml:space="preserve">Total Current Liabilities</t>
  </si>
  <si>
    <t xml:space="preserve">Long-Term Debt</t>
  </si>
  <si>
    <t xml:space="preserve">Other Non-Current Liabilities</t>
  </si>
  <si>
    <t xml:space="preserve">Total Non-Current Liabilities</t>
  </si>
  <si>
    <t xml:space="preserve">TOTAL LIABILITIES</t>
  </si>
  <si>
    <t xml:space="preserve">Share Capital</t>
  </si>
  <si>
    <t xml:space="preserve">Retained Earnings</t>
  </si>
  <si>
    <t xml:space="preserve">Total Equity</t>
  </si>
  <si>
    <t xml:space="preserve">TOTAL LIABILITIES &amp; EQUITY</t>
  </si>
  <si>
    <t xml:space="preserve">Cash Flow Statement (€M)</t>
  </si>
  <si>
    <t xml:space="preserve">+ Depreciation &amp; Amortization</t>
  </si>
  <si>
    <t xml:space="preserve">Changes in Accounts Receivable</t>
  </si>
  <si>
    <t xml:space="preserve">Changes in Inventory</t>
  </si>
  <si>
    <t xml:space="preserve">Changes in Accounts Payable</t>
  </si>
  <si>
    <t xml:space="preserve">Cash from Operations (CFO)</t>
  </si>
  <si>
    <t xml:space="preserve">Capital Expenditures</t>
  </si>
  <si>
    <t xml:space="preserve">Cash from Investing (CFI)</t>
  </si>
  <si>
    <t xml:space="preserve">Debt Drawdowns / (Repayment)</t>
  </si>
  <si>
    <t xml:space="preserve">Equity Issuance</t>
  </si>
  <si>
    <t xml:space="preserve">Dividends Paid</t>
  </si>
  <si>
    <t xml:space="preserve">Cash from Financing (CFF)</t>
  </si>
  <si>
    <t xml:space="preserve">Net Change in Cash</t>
  </si>
  <si>
    <t xml:space="preserve">Beginning Cash Balance</t>
  </si>
  <si>
    <t xml:space="preserve">Ending Cash Balance</t>
  </si>
  <si>
    <t xml:space="preserve">Balance Check (Assets - L&amp;E)</t>
  </si>
  <si>
    <t xml:space="preserve">Investment Criteria</t>
  </si>
  <si>
    <t xml:space="preserve">Free Cash Flow &amp; Valuation (€M)</t>
  </si>
  <si>
    <t xml:space="preserve">EBIT</t>
  </si>
  <si>
    <t xml:space="preserve">+ Depreciation</t>
  </si>
  <si>
    <t xml:space="preserve">- Taxes on EBIT</t>
  </si>
  <si>
    <t xml:space="preserve">- CapEx</t>
  </si>
  <si>
    <t xml:space="preserve">- Change in Working Capital</t>
  </si>
  <si>
    <t xml:space="preserve">Free Cash Flow to Firm (FCFF)</t>
  </si>
  <si>
    <t xml:space="preserve">FCFF</t>
  </si>
  <si>
    <t xml:space="preserve">+ Debt drawdowns</t>
  </si>
  <si>
    <t xml:space="preserve">- Interest (after tax)</t>
  </si>
  <si>
    <t xml:space="preserve">Free Cash Flow to Equity (FCFE)</t>
  </si>
  <si>
    <t xml:space="preserve">Investment Metrics</t>
  </si>
  <si>
    <t xml:space="preserve">NPV of FCFF (€M)</t>
  </si>
  <si>
    <t xml:space="preserve">IRR of FCFF</t>
  </si>
  <si>
    <t xml:space="preserve">NPV of FCFE (€M)</t>
  </si>
  <si>
    <t xml:space="preserve">IRR of FCFE</t>
  </si>
  <si>
    <t xml:space="preserve">TERMINAL VALUE (Gordon Growth)</t>
  </si>
  <si>
    <t xml:space="preserve">Long-term growth rate</t>
  </si>
  <si>
    <t xml:space="preserve">Terminal FCFF</t>
  </si>
  <si>
    <t xml:space="preserve">Terminal Value (€M)</t>
  </si>
  <si>
    <t xml:space="preserve">PV of Terminal Value (€M)</t>
  </si>
  <si>
    <t xml:space="preserve">Total Project Value (NPV + PV of TV)</t>
  </si>
  <si>
    <t xml:space="preserve">Scenario Analysis</t>
  </si>
  <si>
    <t xml:space="preserve">Three Scenarios</t>
  </si>
  <si>
    <t xml:space="preserve">Pessimistic</t>
  </si>
  <si>
    <t xml:space="preserve">Base</t>
  </si>
  <si>
    <t xml:space="preserve">Optimistic</t>
  </si>
  <si>
    <t xml:space="preserve">Target visitors (M)</t>
  </si>
  <si>
    <t xml:space="preserve">OpEx as % of revenue</t>
  </si>
  <si>
    <t xml:space="preserve">Interest rate</t>
  </si>
  <si>
    <t xml:space="preserve">RESULTS (manual entry after running each scenario)</t>
  </si>
  <si>
    <t xml:space="preserve">Payback Period (years)</t>
  </si>
  <si>
    <t xml:space="preserve">Total Project Value (€M)</t>
  </si>
  <si>
    <t xml:space="preserve">SENSITIVITY ANALYSIS</t>
  </si>
  <si>
    <t xml:space="preserve">Impact on NPV when variable changes by:</t>
  </si>
  <si>
    <t xml:space="preserve">-20%</t>
  </si>
  <si>
    <t xml:space="preserve">-10%</t>
  </si>
  <si>
    <t xml:space="preserve">+10%</t>
  </si>
  <si>
    <t xml:space="preserve">+20%</t>
  </si>
  <si>
    <t xml:space="preserve">Visitor volume</t>
  </si>
  <si>
    <t xml:space="preserve">Ticket price</t>
  </si>
  <si>
    <t xml:space="preserve">COGS 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</si>
</sst>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0.0%"/>
    <numFmt numFmtId="168" formatCode="#,##0"/>
    <numFmt numFmtId="169" formatCode="0.00"/>
    <numFmt numFmtId="170" formatCode="0.000"/>
    <numFmt numFmtId="171" formatCode="#,##0;\(#,##0\);\-"/>
    <numFmt numFmtId="172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5"/>
    <col collapsed="false" customWidth="true" hidden="false" outlineLevel="0" max="3" min="3" style="1" width="45"/>
    <col collapsed="false" customWidth="true" hidden="false" outlineLevel="0" max="9" min="4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5"/>
      <c r="C3" s="5"/>
    </row>
    <row r="4" customFormat="false" ht="15" hidden="false" customHeight="true" outlineLevel="0" collapsed="false">
      <c r="A4" s="6" t="s">
        <v>3</v>
      </c>
      <c r="B4" s="7" t="n">
        <v>2026</v>
      </c>
    </row>
    <row r="5" customFormat="false" ht="15" hidden="false" customHeight="true" outlineLevel="0" collapsed="false">
      <c r="A5" s="6" t="s">
        <v>4</v>
      </c>
      <c r="B5" s="7" t="n">
        <v>2028</v>
      </c>
    </row>
    <row r="6" customFormat="false" ht="15" hidden="false" customHeight="true" outlineLevel="0" collapsed="false">
      <c r="A6" s="6" t="s">
        <v>5</v>
      </c>
      <c r="B6" s="7" t="n">
        <v>2033</v>
      </c>
    </row>
    <row r="8" customFormat="false" ht="15" hidden="false" customHeight="true" outlineLevel="0" collapsed="false">
      <c r="A8" s="4" t="s">
        <v>6</v>
      </c>
      <c r="B8" s="5"/>
      <c r="C8" s="5"/>
    </row>
    <row r="9" customFormat="false" ht="15" hidden="false" customHeight="true" outlineLevel="0" collapsed="false">
      <c r="A9" s="6" t="s">
        <v>7</v>
      </c>
      <c r="B9" s="8" t="n">
        <v>3.5</v>
      </c>
      <c r="C9" s="3" t="s">
        <v>8</v>
      </c>
    </row>
    <row r="10" customFormat="false" ht="15" hidden="false" customHeight="true" outlineLevel="0" collapsed="false">
      <c r="A10" s="6" t="s">
        <v>9</v>
      </c>
      <c r="B10" s="9" t="n">
        <v>0.5</v>
      </c>
    </row>
    <row r="11" customFormat="false" ht="15" hidden="false" customHeight="true" outlineLevel="0" collapsed="false">
      <c r="A11" s="6" t="s">
        <v>10</v>
      </c>
      <c r="B11" s="9" t="n">
        <v>0.65</v>
      </c>
    </row>
    <row r="12" customFormat="false" ht="15" hidden="false" customHeight="true" outlineLevel="0" collapsed="false">
      <c r="A12" s="6" t="s">
        <v>11</v>
      </c>
      <c r="B12" s="9" t="n">
        <v>0.8</v>
      </c>
    </row>
    <row r="13" customFormat="false" ht="15" hidden="false" customHeight="true" outlineLevel="0" collapsed="false">
      <c r="A13" s="6" t="s">
        <v>12</v>
      </c>
      <c r="B13" s="9" t="n">
        <v>0.9</v>
      </c>
    </row>
    <row r="14" customFormat="false" ht="15" hidden="false" customHeight="true" outlineLevel="0" collapsed="false">
      <c r="A14" s="6" t="s">
        <v>13</v>
      </c>
      <c r="B14" s="9" t="n">
        <v>0.95</v>
      </c>
    </row>
    <row r="15" customFormat="false" ht="15" hidden="false" customHeight="true" outlineLevel="0" collapsed="false">
      <c r="A15" s="6" t="s">
        <v>14</v>
      </c>
      <c r="B15" s="9" t="n">
        <v>1</v>
      </c>
    </row>
    <row r="16" customFormat="false" ht="15" hidden="false" customHeight="true" outlineLevel="0" collapsed="false">
      <c r="A16" s="6" t="s">
        <v>15</v>
      </c>
      <c r="B16" s="10" t="n">
        <v>42</v>
      </c>
      <c r="C16" s="3" t="s">
        <v>16</v>
      </c>
    </row>
    <row r="17" customFormat="false" ht="15" hidden="false" customHeight="true" outlineLevel="0" collapsed="false">
      <c r="A17" s="6" t="s">
        <v>17</v>
      </c>
      <c r="B17" s="10" t="n">
        <v>28</v>
      </c>
      <c r="C17" s="3" t="s">
        <v>18</v>
      </c>
    </row>
    <row r="18" customFormat="false" ht="15" hidden="false" customHeight="true" outlineLevel="0" collapsed="false">
      <c r="A18" s="6" t="s">
        <v>19</v>
      </c>
      <c r="B18" s="10" t="n">
        <v>130</v>
      </c>
    </row>
    <row r="19" customFormat="false" ht="15" hidden="false" customHeight="true" outlineLevel="0" collapsed="false">
      <c r="A19" s="6" t="s">
        <v>20</v>
      </c>
      <c r="B19" s="10" t="n">
        <v>2000</v>
      </c>
    </row>
    <row r="20" customFormat="false" ht="15" hidden="false" customHeight="true" outlineLevel="0" collapsed="false">
      <c r="A20" s="6" t="s">
        <v>21</v>
      </c>
      <c r="B20" s="9" t="n">
        <v>0.65</v>
      </c>
    </row>
    <row r="21" customFormat="false" ht="15" hidden="false" customHeight="true" outlineLevel="0" collapsed="false">
      <c r="A21" s="6" t="s">
        <v>22</v>
      </c>
      <c r="B21" s="9" t="n">
        <v>0.03</v>
      </c>
    </row>
    <row r="23" customFormat="false" ht="15" hidden="false" customHeight="true" outlineLevel="0" collapsed="false">
      <c r="A23" s="4" t="s">
        <v>23</v>
      </c>
      <c r="B23" s="5"/>
      <c r="C23" s="5"/>
    </row>
    <row r="24" customFormat="false" ht="15" hidden="false" customHeight="true" outlineLevel="0" collapsed="false">
      <c r="A24" s="6" t="s">
        <v>24</v>
      </c>
      <c r="B24" s="9" t="n">
        <v>0.3</v>
      </c>
      <c r="C24" s="3" t="s">
        <v>25</v>
      </c>
    </row>
    <row r="25" customFormat="false" ht="15" hidden="false" customHeight="true" outlineLevel="0" collapsed="false">
      <c r="A25" s="6" t="s">
        <v>26</v>
      </c>
      <c r="B25" s="9" t="n">
        <v>0.25</v>
      </c>
      <c r="C25" s="3" t="s">
        <v>27</v>
      </c>
    </row>
    <row r="26" customFormat="false" ht="15" hidden="false" customHeight="true" outlineLevel="0" collapsed="false">
      <c r="A26" s="6" t="s">
        <v>28</v>
      </c>
      <c r="B26" s="9" t="n">
        <v>0.005</v>
      </c>
      <c r="C26" s="3" t="s">
        <v>29</v>
      </c>
    </row>
    <row r="28" customFormat="false" ht="15" hidden="false" customHeight="true" outlineLevel="0" collapsed="false">
      <c r="A28" s="4" t="s">
        <v>30</v>
      </c>
      <c r="B28" s="5"/>
      <c r="C28" s="5"/>
    </row>
    <row r="29" customFormat="false" ht="15" hidden="false" customHeight="true" outlineLevel="0" collapsed="false">
      <c r="A29" s="6" t="s">
        <v>31</v>
      </c>
      <c r="B29" s="10" t="n">
        <v>1000</v>
      </c>
    </row>
    <row r="30" customFormat="false" ht="15" hidden="false" customHeight="true" outlineLevel="0" collapsed="false">
      <c r="A30" s="6" t="s">
        <v>32</v>
      </c>
      <c r="B30" s="10" t="n">
        <v>120</v>
      </c>
      <c r="C30" s="3" t="s">
        <v>33</v>
      </c>
    </row>
    <row r="31" customFormat="false" ht="15" hidden="false" customHeight="true" outlineLevel="0" collapsed="false">
      <c r="A31" s="6" t="s">
        <v>34</v>
      </c>
      <c r="B31" s="10" t="n">
        <v>350</v>
      </c>
    </row>
    <row r="32" customFormat="false" ht="15" hidden="false" customHeight="true" outlineLevel="0" collapsed="false">
      <c r="A32" s="6" t="s">
        <v>35</v>
      </c>
      <c r="B32" s="10" t="n">
        <v>380</v>
      </c>
    </row>
    <row r="33" customFormat="false" ht="15" hidden="false" customHeight="true" outlineLevel="0" collapsed="false">
      <c r="A33" s="6" t="s">
        <v>36</v>
      </c>
      <c r="B33" s="10" t="n">
        <v>100</v>
      </c>
    </row>
    <row r="34" customFormat="false" ht="15" hidden="false" customHeight="true" outlineLevel="0" collapsed="false">
      <c r="A34" s="6" t="s">
        <v>37</v>
      </c>
      <c r="B34" s="10" t="n">
        <v>50</v>
      </c>
      <c r="C34" s="3" t="s">
        <v>38</v>
      </c>
    </row>
    <row r="35" customFormat="false" ht="15" hidden="false" customHeight="true" outlineLevel="0" collapsed="false">
      <c r="A35" s="6" t="s">
        <v>39</v>
      </c>
      <c r="B35" s="9" t="n">
        <v>0.3</v>
      </c>
    </row>
    <row r="36" customFormat="false" ht="15" hidden="false" customHeight="true" outlineLevel="0" collapsed="false">
      <c r="A36" s="6" t="s">
        <v>40</v>
      </c>
      <c r="B36" s="9" t="n">
        <v>0.5</v>
      </c>
    </row>
    <row r="37" customFormat="false" ht="15" hidden="false" customHeight="true" outlineLevel="0" collapsed="false">
      <c r="A37" s="6" t="s">
        <v>41</v>
      </c>
      <c r="B37" s="9" t="n">
        <v>0.2</v>
      </c>
    </row>
    <row r="38" customFormat="false" ht="15" hidden="false" customHeight="true" outlineLevel="0" collapsed="false">
      <c r="A38" s="6" t="s">
        <v>42</v>
      </c>
      <c r="B38" s="9" t="n">
        <v>0.1</v>
      </c>
      <c r="C38" s="3" t="s">
        <v>43</v>
      </c>
    </row>
    <row r="40" customFormat="false" ht="15" hidden="false" customHeight="true" outlineLevel="0" collapsed="false">
      <c r="A40" s="4" t="s">
        <v>44</v>
      </c>
      <c r="B40" s="5"/>
      <c r="C40" s="5"/>
    </row>
    <row r="41" customFormat="false" ht="15" hidden="false" customHeight="true" outlineLevel="0" collapsed="false">
      <c r="A41" s="6" t="s">
        <v>45</v>
      </c>
      <c r="B41" s="9" t="n">
        <v>0.6</v>
      </c>
    </row>
    <row r="42" customFormat="false" ht="15" hidden="false" customHeight="true" outlineLevel="0" collapsed="false">
      <c r="A42" s="6" t="s">
        <v>46</v>
      </c>
      <c r="B42" s="9" t="n">
        <v>0.4</v>
      </c>
    </row>
    <row r="43" customFormat="false" ht="15" hidden="false" customHeight="true" outlineLevel="0" collapsed="false">
      <c r="A43" s="6" t="s">
        <v>47</v>
      </c>
      <c r="B43" s="9" t="n">
        <v>0.055</v>
      </c>
      <c r="C43" s="3" t="s">
        <v>48</v>
      </c>
    </row>
    <row r="44" customFormat="false" ht="15" hidden="false" customHeight="true" outlineLevel="0" collapsed="false">
      <c r="A44" s="6" t="s">
        <v>49</v>
      </c>
      <c r="B44" s="7" t="n">
        <v>2029</v>
      </c>
    </row>
    <row r="45" customFormat="false" ht="15" hidden="false" customHeight="true" outlineLevel="0" collapsed="false">
      <c r="A45" s="6" t="s">
        <v>50</v>
      </c>
      <c r="B45" s="10" t="n">
        <v>15</v>
      </c>
    </row>
    <row r="47" customFormat="false" ht="15" hidden="false" customHeight="true" outlineLevel="0" collapsed="false">
      <c r="A47" s="4" t="s">
        <v>51</v>
      </c>
      <c r="B47" s="5"/>
      <c r="C47" s="5"/>
    </row>
    <row r="48" customFormat="false" ht="15" hidden="false" customHeight="true" outlineLevel="0" collapsed="false">
      <c r="A48" s="6" t="s">
        <v>52</v>
      </c>
      <c r="B48" s="11" t="n">
        <v>15</v>
      </c>
    </row>
    <row r="49" customFormat="false" ht="15" hidden="false" customHeight="true" outlineLevel="0" collapsed="false">
      <c r="A49" s="6" t="s">
        <v>53</v>
      </c>
      <c r="B49" s="11" t="n">
        <v>30</v>
      </c>
    </row>
    <row r="50" customFormat="false" ht="15" hidden="false" customHeight="true" outlineLevel="0" collapsed="false">
      <c r="A50" s="6" t="s">
        <v>54</v>
      </c>
      <c r="B50" s="11" t="n">
        <v>45</v>
      </c>
    </row>
    <row r="52" customFormat="false" ht="15" hidden="false" customHeight="true" outlineLevel="0" collapsed="false">
      <c r="A52" s="4" t="s">
        <v>55</v>
      </c>
      <c r="B52" s="5"/>
      <c r="C52" s="5"/>
    </row>
    <row r="53" customFormat="false" ht="15" hidden="false" customHeight="true" outlineLevel="0" collapsed="false">
      <c r="A53" s="6" t="s">
        <v>56</v>
      </c>
      <c r="B53" s="9" t="n">
        <v>0.25</v>
      </c>
    </row>
    <row r="54" customFormat="false" ht="15" hidden="false" customHeight="true" outlineLevel="0" collapsed="false">
      <c r="A54" s="6" t="s">
        <v>57</v>
      </c>
      <c r="B54" s="10" t="n">
        <v>20</v>
      </c>
      <c r="C54" s="3" t="s">
        <v>58</v>
      </c>
    </row>
    <row r="55" customFormat="false" ht="15" hidden="false" customHeight="true" outlineLevel="0" collapsed="false">
      <c r="A55" s="6" t="s">
        <v>59</v>
      </c>
      <c r="B55" s="9" t="n">
        <v>0</v>
      </c>
      <c r="C55" s="3" t="s">
        <v>60</v>
      </c>
    </row>
    <row r="57" customFormat="false" ht="15" hidden="false" customHeight="true" outlineLevel="0" collapsed="false">
      <c r="A57" s="4" t="s">
        <v>61</v>
      </c>
      <c r="B57" s="5"/>
      <c r="C57" s="5"/>
    </row>
    <row r="58" customFormat="false" ht="15" hidden="false" customHeight="true" outlineLevel="0" collapsed="false">
      <c r="A58" s="6" t="s">
        <v>62</v>
      </c>
      <c r="B58" s="9" t="n">
        <v>0.12</v>
      </c>
      <c r="C58" s="3" t="s">
        <v>63</v>
      </c>
    </row>
    <row r="59" customFormat="false" ht="15" hidden="false" customHeight="true" outlineLevel="0" collapsed="false">
      <c r="A59" s="6" t="s">
        <v>64</v>
      </c>
      <c r="B59" s="9" t="n">
        <v>0.055</v>
      </c>
      <c r="C59" s="3" t="s">
        <v>65</v>
      </c>
    </row>
    <row r="60" customFormat="false" ht="15" hidden="false" customHeight="true" outlineLevel="0" collapsed="false">
      <c r="A60" s="6" t="s">
        <v>66</v>
      </c>
      <c r="B60" s="12" t="n">
        <f aca="false">B42*B58+B41*B59*(1-B53)</f>
        <v>0.07275</v>
      </c>
      <c r="C60" s="3" t="s">
        <v>67</v>
      </c>
    </row>
    <row r="61" customFormat="false" ht="15" hidden="false" customHeight="false" outlineLevel="0" collapsed="false">
      <c r="A61" s="13" t="s">
        <v>68</v>
      </c>
      <c r="B61" s="14" t="n">
        <v>80</v>
      </c>
      <c r="C61" s="1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70</v>
      </c>
    </row>
    <row r="3" customFormat="false" ht="15" hidden="false" customHeight="true" outlineLevel="0" collapsed="false">
      <c r="A3" s="16"/>
      <c r="B3" s="16"/>
      <c r="C3" s="16"/>
      <c r="D3" s="17" t="s">
        <v>70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19" t="s">
        <v>71</v>
      </c>
      <c r="B5" s="20" t="n">
        <v>0</v>
      </c>
      <c r="C5" s="20" t="n">
        <v>0</v>
      </c>
      <c r="D5" s="20" t="n">
        <f aca="false">Assumptions!B9*Assumptions!B10</f>
        <v>1.75</v>
      </c>
      <c r="E5" s="20" t="n">
        <f aca="false">Assumptions!B9*Assumptions!B11</f>
        <v>2.275</v>
      </c>
      <c r="F5" s="20" t="n">
        <f aca="false">Assumptions!B9*Assumptions!B12</f>
        <v>2.8</v>
      </c>
      <c r="G5" s="20" t="n">
        <f aca="false">Assumptions!B9*Assumptions!B13</f>
        <v>3.15</v>
      </c>
      <c r="H5" s="20" t="n">
        <f aca="false">Assumptions!B9*Assumptions!B14</f>
        <v>3.325</v>
      </c>
      <c r="I5" s="20" t="n">
        <f aca="false">Assumptions!B9*Assumptions!B15</f>
        <v>3.5</v>
      </c>
    </row>
    <row r="6" customFormat="false" ht="15" hidden="false" customHeight="true" outlineLevel="0" collapsed="false">
      <c r="A6" s="6" t="s">
        <v>72</v>
      </c>
      <c r="B6" s="21" t="n">
        <v>1</v>
      </c>
      <c r="C6" s="21" t="n">
        <v>1</v>
      </c>
      <c r="D6" s="21" t="n">
        <v>1</v>
      </c>
      <c r="E6" s="21" t="n">
        <f aca="false">(1+Assumptions!B21)^1</f>
        <v>1.03</v>
      </c>
      <c r="F6" s="21" t="n">
        <f aca="false">(1+Assumptions!B21)^2</f>
        <v>1.0609</v>
      </c>
      <c r="G6" s="21" t="n">
        <f aca="false">(1+Assumptions!B21)^3</f>
        <v>1.092727</v>
      </c>
      <c r="H6" s="21" t="n">
        <f aca="false">(1+Assumptions!B21)^4</f>
        <v>1.12550881</v>
      </c>
      <c r="I6" s="21" t="n">
        <f aca="false">(1+Assumptions!B21)^5</f>
        <v>1.1592740743</v>
      </c>
    </row>
    <row r="8" customFormat="false" ht="15" hidden="false" customHeight="true" outlineLevel="0" collapsed="false">
      <c r="A8" s="6" t="s">
        <v>73</v>
      </c>
      <c r="B8" s="22" t="n">
        <f aca="false">B5*Assumptions!B16*B6</f>
        <v>0</v>
      </c>
      <c r="C8" s="22" t="n">
        <f aca="false">C5*Assumptions!B16*C6</f>
        <v>0</v>
      </c>
      <c r="D8" s="22" t="n">
        <f aca="false">D5*Assumptions!B16*D6</f>
        <v>73.5</v>
      </c>
      <c r="E8" s="22" t="n">
        <f aca="false">E5*Assumptions!B16*E6</f>
        <v>98.4165</v>
      </c>
      <c r="F8" s="22" t="n">
        <f aca="false">F5*Assumptions!B16*F6</f>
        <v>124.76184</v>
      </c>
      <c r="G8" s="22" t="n">
        <f aca="false">G5*Assumptions!B16*G6</f>
        <v>144.5677821</v>
      </c>
      <c r="H8" s="22" t="n">
        <f aca="false">H5*Assumptions!B16*H6</f>
        <v>157.1773053165</v>
      </c>
      <c r="I8" s="22" t="n">
        <f aca="false">I5*Assumptions!B16*I6</f>
        <v>170.4132889221</v>
      </c>
    </row>
    <row r="9" customFormat="false" ht="15" hidden="false" customHeight="true" outlineLevel="0" collapsed="false">
      <c r="A9" s="6" t="s">
        <v>74</v>
      </c>
      <c r="B9" s="22" t="n">
        <f aca="false">B5*Assumptions!B17*B6</f>
        <v>0</v>
      </c>
      <c r="C9" s="22" t="n">
        <f aca="false">C5*Assumptions!B17*C6</f>
        <v>0</v>
      </c>
      <c r="D9" s="22" t="n">
        <f aca="false">D5*Assumptions!B17*D6</f>
        <v>49</v>
      </c>
      <c r="E9" s="22" t="n">
        <f aca="false">E5*Assumptions!B17*E6</f>
        <v>65.611</v>
      </c>
      <c r="F9" s="22" t="n">
        <f aca="false">F5*Assumptions!B17*F6</f>
        <v>83.17456</v>
      </c>
      <c r="G9" s="22" t="n">
        <f aca="false">G5*Assumptions!B17*G6</f>
        <v>96.3785214</v>
      </c>
      <c r="H9" s="22" t="n">
        <f aca="false">H5*Assumptions!B17*H6</f>
        <v>104.784870211</v>
      </c>
      <c r="I9" s="22" t="n">
        <f aca="false">I5*Assumptions!B17*I6</f>
        <v>113.6088592814</v>
      </c>
    </row>
    <row r="10" customFormat="false" ht="15" hidden="false" customHeight="true" outlineLevel="0" collapsed="false">
      <c r="A10" s="6" t="s">
        <v>75</v>
      </c>
      <c r="B10" s="22" t="n">
        <v>0</v>
      </c>
      <c r="C10" s="22" t="n">
        <v>0</v>
      </c>
      <c r="D10" s="22" t="n">
        <f aca="false">Assumptions!B19*Assumptions!B20*Assumptions!B18*365/1000000*D6</f>
        <v>61.685</v>
      </c>
      <c r="E10" s="22" t="n">
        <f aca="false">Assumptions!B19*Assumptions!B20*Assumptions!B18*365/1000000*E6</f>
        <v>63.53555</v>
      </c>
      <c r="F10" s="22" t="n">
        <f aca="false">Assumptions!B19*Assumptions!B20*Assumptions!B18*365/1000000*F6</f>
        <v>65.4416165</v>
      </c>
      <c r="G10" s="22" t="n">
        <f aca="false">Assumptions!B19*Assumptions!B20*Assumptions!B18*365/1000000*G6</f>
        <v>67.404864995</v>
      </c>
      <c r="H10" s="22" t="n">
        <f aca="false">Assumptions!B19*Assumptions!B20*Assumptions!B18*365/1000000*H6</f>
        <v>69.42701094485</v>
      </c>
      <c r="I10" s="22" t="n">
        <f aca="false">Assumptions!B19*Assumptions!B20*Assumptions!B18*365/1000000*I6</f>
        <v>71.5098212731955</v>
      </c>
    </row>
    <row r="12" customFormat="false" ht="15" hidden="false" customHeight="true" outlineLevel="0" collapsed="false">
      <c r="A12" s="23" t="s">
        <v>76</v>
      </c>
      <c r="B12" s="24" t="n">
        <f aca="false">B8+B9+B10</f>
        <v>0</v>
      </c>
      <c r="C12" s="24" t="n">
        <f aca="false">C8+C9+C10</f>
        <v>0</v>
      </c>
      <c r="D12" s="24" t="n">
        <f aca="false">D8+D9+D10</f>
        <v>184.185</v>
      </c>
      <c r="E12" s="24" t="n">
        <f aca="false">E8+E9+E10</f>
        <v>227.56305</v>
      </c>
      <c r="F12" s="24" t="n">
        <f aca="false">F8+F9+F10</f>
        <v>273.3780165</v>
      </c>
      <c r="G12" s="24" t="n">
        <f aca="false">G8+G9+G10</f>
        <v>308.351168495</v>
      </c>
      <c r="H12" s="24" t="n">
        <f aca="false">H8+H9+H10</f>
        <v>331.38918647235</v>
      </c>
      <c r="I12" s="24" t="n">
        <f aca="false">I8+I9+I10</f>
        <v>355.531969476696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77</v>
      </c>
    </row>
    <row r="3" customFormat="false" ht="15" hidden="false" customHeight="true" outlineLevel="0" collapsed="false">
      <c r="A3" s="16"/>
      <c r="B3" s="16"/>
      <c r="C3" s="16"/>
      <c r="D3" s="17" t="s">
        <v>78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25" t="s">
        <v>79</v>
      </c>
    </row>
    <row r="6" customFormat="false" ht="15" hidden="false" customHeight="true" outlineLevel="0" collapsed="false">
      <c r="A6" s="6" t="s">
        <v>80</v>
      </c>
      <c r="B6" s="22" t="n">
        <f aca="false">Assumptions!B30</f>
        <v>120</v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</row>
    <row r="7" customFormat="false" ht="15" hidden="false" customHeight="true" outlineLevel="0" collapsed="false">
      <c r="A7" s="6" t="s">
        <v>81</v>
      </c>
      <c r="B7" s="22" t="n">
        <f aca="false">Assumptions!B31*Assumptions!B35</f>
        <v>105</v>
      </c>
      <c r="C7" s="22" t="n">
        <f aca="false">Assumptions!B31*Assumptions!B36</f>
        <v>175</v>
      </c>
      <c r="D7" s="22" t="n">
        <f aca="false">Assumptions!B31*Assumptions!B37</f>
        <v>70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</row>
    <row r="8" customFormat="false" ht="15" hidden="false" customHeight="true" outlineLevel="0" collapsed="false">
      <c r="A8" s="6" t="s">
        <v>82</v>
      </c>
      <c r="B8" s="22" t="n">
        <f aca="false">Assumptions!B32*Assumptions!B35</f>
        <v>114</v>
      </c>
      <c r="C8" s="22" t="n">
        <f aca="false">Assumptions!B32*Assumptions!B36</f>
        <v>190</v>
      </c>
      <c r="D8" s="22" t="n">
        <f aca="false">Assumptions!B32*Assumptions!B37</f>
        <v>76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</row>
    <row r="9" customFormat="false" ht="15" hidden="false" customHeight="true" outlineLevel="0" collapsed="false">
      <c r="A9" s="6" t="s">
        <v>83</v>
      </c>
      <c r="B9" s="22" t="n">
        <f aca="false">Assumptions!B33*Assumptions!B35</f>
        <v>30</v>
      </c>
      <c r="C9" s="22" t="n">
        <f aca="false">Assumptions!B33*Assumptions!B36</f>
        <v>50</v>
      </c>
      <c r="D9" s="22" t="n">
        <f aca="false">Assumptions!B33*Assumptions!B37</f>
        <v>20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</row>
    <row r="10" customFormat="false" ht="15" hidden="false" customHeight="true" outlineLevel="0" collapsed="false">
      <c r="A10" s="6" t="s">
        <v>84</v>
      </c>
      <c r="B10" s="22" t="n">
        <f aca="false">Assumptions!B34*Assumptions!B35</f>
        <v>15</v>
      </c>
      <c r="C10" s="22" t="n">
        <f aca="false">Assumptions!B34*Assumptions!B36</f>
        <v>25</v>
      </c>
      <c r="D10" s="22" t="n">
        <f aca="false">Assumptions!B34*Assumptions!B37</f>
        <v>10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</row>
    <row r="11" customFormat="false" ht="15" hidden="false" customHeight="true" outlineLevel="0" collapsed="false">
      <c r="A11" s="23" t="s">
        <v>85</v>
      </c>
      <c r="B11" s="24" t="n">
        <f aca="false">SUM(B6:B10)</f>
        <v>384</v>
      </c>
      <c r="C11" s="24" t="n">
        <f aca="false">SUM(C6:C10)</f>
        <v>440</v>
      </c>
      <c r="D11" s="24" t="n">
        <f aca="false">SUM(D6:D10)</f>
        <v>176</v>
      </c>
      <c r="E11" s="24" t="n">
        <f aca="false">SUM(E6:E10)</f>
        <v>0</v>
      </c>
      <c r="F11" s="24" t="n">
        <f aca="false">SUM(F6:F10)</f>
        <v>0</v>
      </c>
      <c r="G11" s="24" t="n">
        <f aca="false">SUM(G6:G10)</f>
        <v>0</v>
      </c>
      <c r="H11" s="24" t="n">
        <f aca="false">SUM(H6:H10)</f>
        <v>0</v>
      </c>
      <c r="I11" s="24" t="n">
        <f aca="false">SUM(I6:I10)</f>
        <v>0</v>
      </c>
    </row>
    <row r="13" customFormat="false" ht="15" hidden="false" customHeight="true" outlineLevel="0" collapsed="false">
      <c r="A13" s="6" t="s">
        <v>86</v>
      </c>
      <c r="B13" s="22" t="n">
        <v>0</v>
      </c>
      <c r="C13" s="22" t="n">
        <v>0</v>
      </c>
      <c r="D13" s="22" t="n">
        <v>0</v>
      </c>
      <c r="E13" s="22" t="n">
        <f aca="false">Revenue!E12*Assumptions!B38</f>
        <v>22.756305</v>
      </c>
      <c r="F13" s="22" t="n">
        <f aca="false">Revenue!F12*Assumptions!B38</f>
        <v>27.33780165</v>
      </c>
      <c r="G13" s="22" t="n">
        <f aca="false">Revenue!G12*Assumptions!B38</f>
        <v>30.8351168495</v>
      </c>
      <c r="H13" s="22" t="n">
        <f aca="false">Revenue!H12*Assumptions!B38</f>
        <v>33.138918647235</v>
      </c>
      <c r="I13" s="22" t="n">
        <f aca="false">Revenue!I12*Assumptions!B38</f>
        <v>35.5531969476696</v>
      </c>
    </row>
    <row r="15" customFormat="false" ht="15" hidden="false" customHeight="true" outlineLevel="0" collapsed="false">
      <c r="A15" s="23" t="s">
        <v>87</v>
      </c>
      <c r="B15" s="24" t="n">
        <f aca="false">B11+B13</f>
        <v>384</v>
      </c>
      <c r="C15" s="24" t="n">
        <f aca="false">C11+C13</f>
        <v>440</v>
      </c>
      <c r="D15" s="24" t="n">
        <f aca="false">D11+D13</f>
        <v>176</v>
      </c>
      <c r="E15" s="24" t="n">
        <f aca="false">E11+E13</f>
        <v>22.756305</v>
      </c>
      <c r="F15" s="24" t="n">
        <f aca="false">F11+F13</f>
        <v>27.33780165</v>
      </c>
      <c r="G15" s="24" t="n">
        <f aca="false">G11+G13</f>
        <v>30.8351168495</v>
      </c>
      <c r="H15" s="24" t="n">
        <f aca="false">H11+H13</f>
        <v>33.138918647235</v>
      </c>
      <c r="I15" s="24" t="n">
        <f aca="false">I11+I13</f>
        <v>35.5531969476696</v>
      </c>
    </row>
    <row r="17" customFormat="false" ht="15" hidden="false" customHeight="true" outlineLevel="0" collapsed="false">
      <c r="A17" s="16"/>
      <c r="B17" s="16"/>
      <c r="C17" s="16"/>
      <c r="D17" s="17" t="s">
        <v>88</v>
      </c>
      <c r="E17" s="16"/>
      <c r="F17" s="16"/>
      <c r="G17" s="16"/>
      <c r="H17" s="16"/>
      <c r="I17" s="16"/>
    </row>
    <row r="18" customFormat="false" ht="15" hidden="false" customHeight="true" outlineLevel="0" collapsed="false">
      <c r="B18" s="18" t="n">
        <v>2026</v>
      </c>
      <c r="C18" s="18" t="n">
        <v>2027</v>
      </c>
      <c r="D18" s="18" t="n">
        <v>2028</v>
      </c>
      <c r="E18" s="18" t="n">
        <v>2029</v>
      </c>
      <c r="F18" s="18" t="n">
        <v>2030</v>
      </c>
      <c r="G18" s="18" t="n">
        <v>2031</v>
      </c>
      <c r="H18" s="18" t="n">
        <v>2032</v>
      </c>
      <c r="I18" s="18" t="n">
        <v>2033</v>
      </c>
    </row>
    <row r="19" customFormat="false" ht="15" hidden="false" customHeight="true" outlineLevel="0" collapsed="false">
      <c r="A19" s="6" t="s">
        <v>89</v>
      </c>
      <c r="B19" s="22" t="n">
        <f aca="false">Assumptions!B29-Assumptions!B30</f>
        <v>880</v>
      </c>
    </row>
    <row r="20" customFormat="false" ht="15" hidden="false" customHeight="true" outlineLevel="0" collapsed="false">
      <c r="A20" s="6" t="s">
        <v>90</v>
      </c>
      <c r="B20" s="22" t="n">
        <f aca="false">B19/Assumptions!B54</f>
        <v>44</v>
      </c>
    </row>
    <row r="22" customFormat="false" ht="15" hidden="false" customHeight="true" outlineLevel="0" collapsed="false">
      <c r="A22" s="6" t="s">
        <v>91</v>
      </c>
      <c r="B22" s="22" t="n">
        <v>0</v>
      </c>
      <c r="C22" s="22" t="n">
        <v>0</v>
      </c>
      <c r="D22" s="22" t="n">
        <f aca="false">$B$20</f>
        <v>44</v>
      </c>
      <c r="E22" s="22" t="n">
        <f aca="false">$B$20</f>
        <v>44</v>
      </c>
      <c r="F22" s="22" t="n">
        <f aca="false">$B$20</f>
        <v>44</v>
      </c>
      <c r="G22" s="22" t="n">
        <f aca="false">$B$20</f>
        <v>44</v>
      </c>
      <c r="H22" s="22" t="n">
        <f aca="false">$B$20</f>
        <v>44</v>
      </c>
      <c r="I22" s="22" t="n">
        <f aca="false">$B$20</f>
        <v>44</v>
      </c>
    </row>
    <row r="23" customFormat="false" ht="15" hidden="false" customHeight="true" outlineLevel="0" collapsed="false">
      <c r="A23" s="6" t="s">
        <v>92</v>
      </c>
      <c r="B23" s="22" t="n">
        <v>0</v>
      </c>
      <c r="C23" s="22" t="n">
        <v>0</v>
      </c>
      <c r="D23" s="22" t="n">
        <v>0</v>
      </c>
      <c r="E23" s="22" t="n">
        <v>0</v>
      </c>
      <c r="F23" s="22" t="n">
        <f aca="false">E23+E13/Assumptions!B54</f>
        <v>1.13781525</v>
      </c>
      <c r="G23" s="22" t="n">
        <f aca="false">F23+F13/Assumptions!B54</f>
        <v>2.5047053325</v>
      </c>
      <c r="H23" s="22" t="n">
        <f aca="false">G23+G13/Assumptions!B54</f>
        <v>4.046461174975</v>
      </c>
      <c r="I23" s="22" t="n">
        <f aca="false">H23+H13/Assumptions!B54</f>
        <v>5.70340710733675</v>
      </c>
    </row>
    <row r="24" customFormat="false" ht="15" hidden="false" customHeight="true" outlineLevel="0" collapsed="false">
      <c r="A24" s="23" t="s">
        <v>93</v>
      </c>
      <c r="B24" s="24" t="n">
        <f aca="false">B22+B23</f>
        <v>0</v>
      </c>
      <c r="C24" s="24" t="n">
        <f aca="false">C22+C23</f>
        <v>0</v>
      </c>
      <c r="D24" s="24" t="n">
        <f aca="false">D22+D23</f>
        <v>44</v>
      </c>
      <c r="E24" s="24" t="n">
        <f aca="false">E22+E23</f>
        <v>44</v>
      </c>
      <c r="F24" s="24" t="n">
        <f aca="false">F22+F23</f>
        <v>45.13781525</v>
      </c>
      <c r="G24" s="24" t="n">
        <f aca="false">G22+G23</f>
        <v>46.5047053325</v>
      </c>
      <c r="H24" s="24" t="n">
        <f aca="false">H22+H23</f>
        <v>48.046461174975</v>
      </c>
      <c r="I24" s="24" t="n">
        <f aca="false">I22+I23</f>
        <v>49.7034071073368</v>
      </c>
    </row>
    <row r="26" customFormat="false" ht="15" hidden="false" customHeight="true" outlineLevel="0" collapsed="false">
      <c r="A26" s="16"/>
      <c r="B26" s="16"/>
      <c r="C26" s="16"/>
      <c r="D26" s="17" t="s">
        <v>94</v>
      </c>
      <c r="E26" s="16"/>
      <c r="F26" s="16"/>
      <c r="G26" s="16"/>
      <c r="H26" s="16"/>
      <c r="I26" s="16"/>
    </row>
    <row r="27" customFormat="false" ht="15" hidden="false" customHeight="true" outlineLevel="0" collapsed="false">
      <c r="B27" s="18" t="n">
        <v>2026</v>
      </c>
      <c r="C27" s="18" t="n">
        <v>2027</v>
      </c>
      <c r="D27" s="18" t="n">
        <v>2028</v>
      </c>
      <c r="E27" s="18" t="n">
        <v>2029</v>
      </c>
      <c r="F27" s="18" t="n">
        <v>2030</v>
      </c>
      <c r="G27" s="18" t="n">
        <v>2031</v>
      </c>
      <c r="H27" s="18" t="n">
        <v>2032</v>
      </c>
      <c r="I27" s="18" t="n">
        <v>2033</v>
      </c>
    </row>
    <row r="28" customFormat="false" ht="15" hidden="false" customHeight="true" outlineLevel="0" collapsed="false">
      <c r="A28" s="6" t="s">
        <v>95</v>
      </c>
      <c r="B28" s="22" t="n">
        <v>0</v>
      </c>
      <c r="C28" s="22" t="n">
        <f aca="false">B30</f>
        <v>384</v>
      </c>
      <c r="D28" s="22" t="n">
        <f aca="false">C30</f>
        <v>824</v>
      </c>
      <c r="E28" s="22" t="n">
        <f aca="false">D30</f>
        <v>1000</v>
      </c>
      <c r="F28" s="22" t="n">
        <f aca="false">E30</f>
        <v>1022.756305</v>
      </c>
      <c r="G28" s="22" t="n">
        <f aca="false">F30</f>
        <v>1050.09410665</v>
      </c>
      <c r="H28" s="22" t="n">
        <f aca="false">G30</f>
        <v>1080.9292234995</v>
      </c>
      <c r="I28" s="22" t="n">
        <f aca="false">H30</f>
        <v>1114.06814214674</v>
      </c>
    </row>
    <row r="29" customFormat="false" ht="15" hidden="false" customHeight="true" outlineLevel="0" collapsed="false">
      <c r="A29" s="6" t="s">
        <v>96</v>
      </c>
      <c r="B29" s="22" t="n">
        <f aca="false">B15</f>
        <v>384</v>
      </c>
      <c r="C29" s="22" t="n">
        <f aca="false">C15</f>
        <v>440</v>
      </c>
      <c r="D29" s="22" t="n">
        <f aca="false">D15</f>
        <v>176</v>
      </c>
      <c r="E29" s="22" t="n">
        <f aca="false">E15</f>
        <v>22.756305</v>
      </c>
      <c r="F29" s="22" t="n">
        <f aca="false">F15</f>
        <v>27.33780165</v>
      </c>
      <c r="G29" s="22" t="n">
        <f aca="false">G15</f>
        <v>30.8351168495</v>
      </c>
      <c r="H29" s="22" t="n">
        <f aca="false">H15</f>
        <v>33.138918647235</v>
      </c>
      <c r="I29" s="22" t="n">
        <f aca="false">I15</f>
        <v>35.5531969476696</v>
      </c>
    </row>
    <row r="30" customFormat="false" ht="15" hidden="false" customHeight="true" outlineLevel="0" collapsed="false">
      <c r="A30" s="19" t="s">
        <v>97</v>
      </c>
      <c r="B30" s="22" t="n">
        <f aca="false">B28+B29</f>
        <v>384</v>
      </c>
      <c r="C30" s="22" t="n">
        <f aca="false">C28+C29</f>
        <v>824</v>
      </c>
      <c r="D30" s="22" t="n">
        <f aca="false">D28+D29</f>
        <v>1000</v>
      </c>
      <c r="E30" s="22" t="n">
        <f aca="false">E28+E29</f>
        <v>1022.756305</v>
      </c>
      <c r="F30" s="22" t="n">
        <f aca="false">F28+F29</f>
        <v>1050.09410665</v>
      </c>
      <c r="G30" s="22" t="n">
        <f aca="false">G28+G29</f>
        <v>1080.9292234995</v>
      </c>
      <c r="H30" s="22" t="n">
        <f aca="false">H28+H29</f>
        <v>1114.06814214674</v>
      </c>
      <c r="I30" s="22" t="n">
        <f aca="false">I28+I29</f>
        <v>1149.6213390944</v>
      </c>
    </row>
    <row r="32" customFormat="false" ht="15" hidden="false" customHeight="true" outlineLevel="0" collapsed="false">
      <c r="A32" s="6" t="s">
        <v>98</v>
      </c>
      <c r="B32" s="22" t="n">
        <v>0</v>
      </c>
      <c r="C32" s="22" t="n">
        <f aca="false">B33</f>
        <v>0</v>
      </c>
      <c r="D32" s="22" t="n">
        <f aca="false">C33</f>
        <v>0</v>
      </c>
      <c r="E32" s="22" t="n">
        <f aca="false">D33</f>
        <v>44</v>
      </c>
      <c r="F32" s="22" t="n">
        <f aca="false">E33</f>
        <v>88</v>
      </c>
      <c r="G32" s="22" t="n">
        <f aca="false">F33</f>
        <v>133.13781525</v>
      </c>
      <c r="H32" s="22" t="n">
        <f aca="false">G33</f>
        <v>179.6425205825</v>
      </c>
      <c r="I32" s="22" t="n">
        <f aca="false">H33</f>
        <v>227.688981757475</v>
      </c>
    </row>
    <row r="33" customFormat="false" ht="15" hidden="false" customHeight="true" outlineLevel="0" collapsed="false">
      <c r="A33" s="6" t="s">
        <v>99</v>
      </c>
      <c r="B33" s="22" t="n">
        <f aca="false">B32+B24</f>
        <v>0</v>
      </c>
      <c r="C33" s="22" t="n">
        <f aca="false">C32+C24</f>
        <v>0</v>
      </c>
      <c r="D33" s="22" t="n">
        <f aca="false">D32+D24</f>
        <v>44</v>
      </c>
      <c r="E33" s="22" t="n">
        <f aca="false">E32+E24</f>
        <v>88</v>
      </c>
      <c r="F33" s="22" t="n">
        <f aca="false">F32+F24</f>
        <v>133.13781525</v>
      </c>
      <c r="G33" s="22" t="n">
        <f aca="false">G32+G24</f>
        <v>179.6425205825</v>
      </c>
      <c r="H33" s="22" t="n">
        <f aca="false">H32+H24</f>
        <v>227.688981757475</v>
      </c>
      <c r="I33" s="22" t="n">
        <f aca="false">I32+I24</f>
        <v>277.392388864812</v>
      </c>
    </row>
    <row r="35" customFormat="false" ht="15" hidden="false" customHeight="true" outlineLevel="0" collapsed="false">
      <c r="A35" s="19" t="s">
        <v>100</v>
      </c>
      <c r="B35" s="26" t="n">
        <f aca="false">B30-B33</f>
        <v>384</v>
      </c>
      <c r="C35" s="26" t="n">
        <f aca="false">C30-C33</f>
        <v>824</v>
      </c>
      <c r="D35" s="26" t="n">
        <f aca="false">D30-D33</f>
        <v>956</v>
      </c>
      <c r="E35" s="26" t="n">
        <f aca="false">E30-E33</f>
        <v>934.756305</v>
      </c>
      <c r="F35" s="26" t="n">
        <f aca="false">F30-F33</f>
        <v>916.9562914</v>
      </c>
      <c r="G35" s="26" t="n">
        <f aca="false">G30-G33</f>
        <v>901.286702917</v>
      </c>
      <c r="H35" s="26" t="n">
        <f aca="false">H30-H33</f>
        <v>886.37916038926</v>
      </c>
      <c r="I35" s="26" t="n">
        <f aca="false">I30-I33</f>
        <v>872.228950229593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101</v>
      </c>
    </row>
    <row r="3" customFormat="false" ht="15" hidden="false" customHeight="true" outlineLevel="0" collapsed="false">
      <c r="A3" s="16"/>
      <c r="B3" s="16"/>
      <c r="C3" s="16"/>
      <c r="D3" s="17" t="s">
        <v>101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6" t="s">
        <v>102</v>
      </c>
      <c r="B5" s="22" t="n">
        <f aca="false">Assumptions!B29*Assumptions!B41</f>
        <v>600</v>
      </c>
    </row>
    <row r="6" customFormat="false" ht="15" hidden="false" customHeight="true" outlineLevel="0" collapsed="false">
      <c r="A6" s="6" t="s">
        <v>103</v>
      </c>
      <c r="B6" s="22" t="n">
        <f aca="false">B5/Assumptions!B45</f>
        <v>40</v>
      </c>
    </row>
    <row r="8" customFormat="false" ht="15" hidden="false" customHeight="true" outlineLevel="0" collapsed="false">
      <c r="A8" s="6" t="s">
        <v>104</v>
      </c>
      <c r="B8" s="22" t="n">
        <v>0</v>
      </c>
      <c r="C8" s="22" t="n">
        <f aca="false">B12</f>
        <v>230.4</v>
      </c>
      <c r="D8" s="22" t="n">
        <f aca="false">C12</f>
        <v>494.4</v>
      </c>
      <c r="E8" s="22" t="n">
        <f aca="false">D12</f>
        <v>600</v>
      </c>
      <c r="F8" s="22" t="n">
        <f aca="false">E12</f>
        <v>560</v>
      </c>
      <c r="G8" s="22" t="n">
        <f aca="false">F12</f>
        <v>520</v>
      </c>
      <c r="H8" s="22" t="n">
        <f aca="false">G12</f>
        <v>480</v>
      </c>
      <c r="I8" s="22" t="n">
        <f aca="false">H12</f>
        <v>440</v>
      </c>
    </row>
    <row r="9" customFormat="false" ht="15" hidden="false" customHeight="true" outlineLevel="0" collapsed="false">
      <c r="A9" s="6" t="s">
        <v>105</v>
      </c>
      <c r="B9" s="22" t="n">
        <f aca="false">CapEx!B15*Assumptions!B41</f>
        <v>230.4</v>
      </c>
      <c r="C9" s="22" t="n">
        <f aca="false">CapEx!C15*Assumptions!B41</f>
        <v>264</v>
      </c>
      <c r="D9" s="22" t="n">
        <f aca="false">CapEx!D11*Assumptions!B41</f>
        <v>105.6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</row>
    <row r="10" customFormat="false" ht="15" hidden="false" customHeight="true" outlineLevel="0" collapsed="false">
      <c r="A10" s="6" t="s">
        <v>106</v>
      </c>
      <c r="B10" s="22" t="n">
        <v>0</v>
      </c>
      <c r="C10" s="22" t="n">
        <v>0</v>
      </c>
      <c r="D10" s="22" t="n">
        <v>0</v>
      </c>
      <c r="E10" s="22" t="n">
        <f aca="false">$B$6</f>
        <v>40</v>
      </c>
      <c r="F10" s="22" t="n">
        <f aca="false">$B$6</f>
        <v>40</v>
      </c>
      <c r="G10" s="22" t="n">
        <f aca="false">$B$6</f>
        <v>40</v>
      </c>
      <c r="H10" s="22" t="n">
        <f aca="false">$B$6</f>
        <v>40</v>
      </c>
      <c r="I10" s="22" t="n">
        <f aca="false">$B$6</f>
        <v>40</v>
      </c>
    </row>
    <row r="12" customFormat="false" ht="15" hidden="false" customHeight="true" outlineLevel="0" collapsed="false">
      <c r="A12" s="19" t="s">
        <v>107</v>
      </c>
      <c r="B12" s="26" t="n">
        <f aca="false">B8+B9-B10</f>
        <v>230.4</v>
      </c>
      <c r="C12" s="26" t="n">
        <f aca="false">C8+C9-C10</f>
        <v>494.4</v>
      </c>
      <c r="D12" s="26" t="n">
        <f aca="false">D8+D9-D10</f>
        <v>600</v>
      </c>
      <c r="E12" s="26" t="n">
        <f aca="false">E8+E9-E10</f>
        <v>560</v>
      </c>
      <c r="F12" s="26" t="n">
        <f aca="false">F8+F9-F10</f>
        <v>520</v>
      </c>
      <c r="G12" s="26" t="n">
        <f aca="false">G8+G9-G10</f>
        <v>480</v>
      </c>
      <c r="H12" s="26" t="n">
        <f aca="false">H8+H9-H10</f>
        <v>440</v>
      </c>
      <c r="I12" s="26" t="n">
        <f aca="false">I8+I9-I10</f>
        <v>400</v>
      </c>
    </row>
    <row r="14" customFormat="false" ht="15" hidden="false" customHeight="true" outlineLevel="0" collapsed="false">
      <c r="A14" s="19" t="s">
        <v>108</v>
      </c>
      <c r="B14" s="22" t="n">
        <f aca="false">B8*Assumptions!B43</f>
        <v>0</v>
      </c>
      <c r="C14" s="22" t="n">
        <f aca="false">C8*Assumptions!B43</f>
        <v>12.672</v>
      </c>
      <c r="D14" s="22" t="n">
        <f aca="false">D8*Assumptions!B43</f>
        <v>27.192</v>
      </c>
      <c r="E14" s="22" t="n">
        <f aca="false">E8*Assumptions!B43</f>
        <v>33</v>
      </c>
      <c r="F14" s="22" t="n">
        <f aca="false">F8*Assumptions!B43</f>
        <v>30.8</v>
      </c>
      <c r="G14" s="22" t="n">
        <f aca="false">G8*Assumptions!B43</f>
        <v>28.6</v>
      </c>
      <c r="H14" s="22" t="n">
        <f aca="false">H8*Assumptions!B43</f>
        <v>26.4</v>
      </c>
      <c r="I14" s="22" t="n">
        <f aca="false">I8*Assumptions!B43</f>
        <v>24.2</v>
      </c>
    </row>
    <row r="16" customFormat="false" ht="15" hidden="false" customHeight="true" outlineLevel="0" collapsed="false">
      <c r="A16" s="6" t="s">
        <v>109</v>
      </c>
      <c r="B16" s="22" t="n">
        <v>0</v>
      </c>
      <c r="C16" s="22" t="n">
        <v>0</v>
      </c>
      <c r="D16" s="22" t="n">
        <f aca="false">MIN($B$6,D12)</f>
        <v>40</v>
      </c>
      <c r="E16" s="22" t="n">
        <f aca="false">MIN($B$6,E12)</f>
        <v>40</v>
      </c>
      <c r="F16" s="22" t="n">
        <f aca="false">MIN($B$6,F12)</f>
        <v>40</v>
      </c>
      <c r="G16" s="22" t="n">
        <f aca="false">MIN($B$6,G12)</f>
        <v>40</v>
      </c>
      <c r="H16" s="22" t="n">
        <f aca="false">MIN($B$6,H12)</f>
        <v>40</v>
      </c>
      <c r="I16" s="22" t="n">
        <f aca="false">MIN($B$6,I12)</f>
        <v>40</v>
      </c>
    </row>
    <row r="17" customFormat="false" ht="15" hidden="false" customHeight="true" outlineLevel="0" collapsed="false">
      <c r="A17" s="6" t="s">
        <v>110</v>
      </c>
      <c r="B17" s="22" t="n">
        <f aca="false">B12-B16</f>
        <v>230.4</v>
      </c>
      <c r="C17" s="22" t="n">
        <f aca="false">C12-C16</f>
        <v>494.4</v>
      </c>
      <c r="D17" s="22" t="n">
        <f aca="false">D12-D16</f>
        <v>560</v>
      </c>
      <c r="E17" s="22" t="n">
        <f aca="false">E12-E16</f>
        <v>520</v>
      </c>
      <c r="F17" s="22" t="n">
        <f aca="false">F12-F16</f>
        <v>480</v>
      </c>
      <c r="G17" s="22" t="n">
        <f aca="false">G12-G16</f>
        <v>440</v>
      </c>
      <c r="H17" s="22" t="n">
        <f aca="false">H12-H16</f>
        <v>400</v>
      </c>
      <c r="I17" s="22" t="n">
        <f aca="false">I12-I16</f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111</v>
      </c>
    </row>
    <row r="3" customFormat="false" ht="15" hidden="false" customHeight="true" outlineLevel="0" collapsed="false">
      <c r="A3" s="16"/>
      <c r="B3" s="16"/>
      <c r="C3" s="16"/>
      <c r="D3" s="17" t="s">
        <v>112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3" t="s">
        <v>113</v>
      </c>
      <c r="B5" s="22" t="n">
        <f aca="false">Revenue!B12</f>
        <v>0</v>
      </c>
      <c r="C5" s="22" t="n">
        <f aca="false">Revenue!C12</f>
        <v>0</v>
      </c>
      <c r="D5" s="22" t="n">
        <f aca="false">Revenue!D12</f>
        <v>184.185</v>
      </c>
      <c r="E5" s="22" t="n">
        <f aca="false">Revenue!E12</f>
        <v>227.56305</v>
      </c>
      <c r="F5" s="22" t="n">
        <f aca="false">Revenue!F12</f>
        <v>273.3780165</v>
      </c>
      <c r="G5" s="22" t="n">
        <f aca="false">Revenue!G12</f>
        <v>308.351168495</v>
      </c>
      <c r="H5" s="22" t="n">
        <f aca="false">Revenue!H12</f>
        <v>331.38918647235</v>
      </c>
      <c r="I5" s="22" t="n">
        <f aca="false">Revenue!I12</f>
        <v>355.531969476696</v>
      </c>
    </row>
    <row r="6" customFormat="false" ht="15" hidden="false" customHeight="true" outlineLevel="0" collapsed="false">
      <c r="A6" s="3" t="s">
        <v>114</v>
      </c>
      <c r="B6" s="22" t="n">
        <f aca="false">B5*Assumptions!B24</f>
        <v>0</v>
      </c>
      <c r="C6" s="22" t="n">
        <f aca="false">C5*Assumptions!B24</f>
        <v>0</v>
      </c>
      <c r="D6" s="22" t="n">
        <f aca="false">D5*Assumptions!B24</f>
        <v>55.2555</v>
      </c>
      <c r="E6" s="22" t="n">
        <f aca="false">E5*Assumptions!B24</f>
        <v>68.268915</v>
      </c>
      <c r="F6" s="22" t="n">
        <f aca="false">F5*Assumptions!B24</f>
        <v>82.01340495</v>
      </c>
      <c r="G6" s="22" t="n">
        <f aca="false">G5*Assumptions!B24</f>
        <v>92.5053505485</v>
      </c>
      <c r="H6" s="22" t="n">
        <f aca="false">H5*Assumptions!B24</f>
        <v>99.416755941705</v>
      </c>
      <c r="I6" s="22" t="n">
        <f aca="false">I5*Assumptions!B24</f>
        <v>106.659590843009</v>
      </c>
    </row>
    <row r="8" customFormat="false" ht="15" hidden="false" customHeight="true" outlineLevel="0" collapsed="false">
      <c r="A8" s="6" t="s">
        <v>115</v>
      </c>
      <c r="B8" s="22" t="n">
        <f aca="false">B5*Assumptions!B48/365</f>
        <v>0</v>
      </c>
      <c r="C8" s="22" t="n">
        <f aca="false">C5*Assumptions!B48/365</f>
        <v>0</v>
      </c>
      <c r="D8" s="22" t="n">
        <f aca="false">D5*Assumptions!B48/365</f>
        <v>7.56924657534247</v>
      </c>
      <c r="E8" s="22" t="n">
        <f aca="false">E5*Assumptions!B48/365</f>
        <v>9.35190616438356</v>
      </c>
      <c r="F8" s="22" t="n">
        <f aca="false">F5*Assumptions!B48/365</f>
        <v>11.2347130068493</v>
      </c>
      <c r="G8" s="22" t="n">
        <f aca="false">G5*Assumptions!B48/365</f>
        <v>12.6719658285616</v>
      </c>
      <c r="H8" s="22" t="n">
        <f aca="false">H5*Assumptions!B48/365</f>
        <v>13.6187336906445</v>
      </c>
      <c r="I8" s="22" t="n">
        <f aca="false">I5*Assumptions!B48/365</f>
        <v>14.6109028552067</v>
      </c>
    </row>
    <row r="9" customFormat="false" ht="15" hidden="false" customHeight="true" outlineLevel="0" collapsed="false">
      <c r="A9" s="6" t="s">
        <v>116</v>
      </c>
      <c r="B9" s="22" t="n">
        <f aca="false">B6*Assumptions!B49/365</f>
        <v>0</v>
      </c>
      <c r="C9" s="22" t="n">
        <f aca="false">C6*Assumptions!B49/365</f>
        <v>0</v>
      </c>
      <c r="D9" s="22" t="n">
        <f aca="false">D6*Assumptions!B49/365</f>
        <v>4.54154794520548</v>
      </c>
      <c r="E9" s="22" t="n">
        <f aca="false">E6*Assumptions!B49/365</f>
        <v>5.61114369863014</v>
      </c>
      <c r="F9" s="22" t="n">
        <f aca="false">F6*Assumptions!B49/365</f>
        <v>6.74082780410959</v>
      </c>
      <c r="G9" s="22" t="n">
        <f aca="false">G6*Assumptions!B49/365</f>
        <v>7.60317949713699</v>
      </c>
      <c r="H9" s="22" t="n">
        <f aca="false">H6*Assumptions!B49/365</f>
        <v>8.17124021438671</v>
      </c>
      <c r="I9" s="22" t="n">
        <f aca="false">I6*Assumptions!B49/365</f>
        <v>8.766541713124</v>
      </c>
    </row>
    <row r="10" customFormat="false" ht="15" hidden="false" customHeight="true" outlineLevel="0" collapsed="false">
      <c r="A10" s="6" t="s">
        <v>117</v>
      </c>
      <c r="B10" s="22" t="n">
        <f aca="false">B6*Assumptions!B50/365</f>
        <v>0</v>
      </c>
      <c r="C10" s="22" t="n">
        <f aca="false">C6*Assumptions!B50/365</f>
        <v>0</v>
      </c>
      <c r="D10" s="22" t="n">
        <f aca="false">D6*Assumptions!B50/365</f>
        <v>6.81232191780822</v>
      </c>
      <c r="E10" s="22" t="n">
        <f aca="false">E6*Assumptions!B50/365</f>
        <v>8.41671554794521</v>
      </c>
      <c r="F10" s="22" t="n">
        <f aca="false">F6*Assumptions!B50/365</f>
        <v>10.1112417061644</v>
      </c>
      <c r="G10" s="22" t="n">
        <f aca="false">G6*Assumptions!B50/365</f>
        <v>11.4047692457055</v>
      </c>
      <c r="H10" s="22" t="n">
        <f aca="false">H6*Assumptions!B50/365</f>
        <v>12.2568603215801</v>
      </c>
      <c r="I10" s="22" t="n">
        <f aca="false">I6*Assumptions!B50/365</f>
        <v>13.149812569686</v>
      </c>
    </row>
    <row r="12" customFormat="false" ht="15" hidden="false" customHeight="true" outlineLevel="0" collapsed="false">
      <c r="A12" s="23" t="s">
        <v>118</v>
      </c>
      <c r="B12" s="24" t="n">
        <f aca="false">B8+B9-B10</f>
        <v>0</v>
      </c>
      <c r="C12" s="24" t="n">
        <f aca="false">C8+C9-C10</f>
        <v>0</v>
      </c>
      <c r="D12" s="24" t="n">
        <f aca="false">D8+D9-D10</f>
        <v>5.29847260273973</v>
      </c>
      <c r="E12" s="24" t="n">
        <f aca="false">E8+E9-E10</f>
        <v>6.54633431506849</v>
      </c>
      <c r="F12" s="24" t="n">
        <f aca="false">F8+F9-F10</f>
        <v>7.86429910479452</v>
      </c>
      <c r="G12" s="24" t="n">
        <f aca="false">G8+G9-G10</f>
        <v>8.87037607999315</v>
      </c>
      <c r="H12" s="24" t="n">
        <f aca="false">H8+H9-H10</f>
        <v>9.53311358345117</v>
      </c>
      <c r="I12" s="24" t="n">
        <f aca="false">I8+I9-I10</f>
        <v>10.2276319986447</v>
      </c>
    </row>
    <row r="14" customFormat="false" ht="15" hidden="false" customHeight="true" outlineLevel="0" collapsed="false">
      <c r="A14" s="19" t="s">
        <v>119</v>
      </c>
      <c r="B14" s="26" t="n">
        <f aca="false">B12</f>
        <v>0</v>
      </c>
      <c r="C14" s="26" t="n">
        <f aca="false">C12-B12</f>
        <v>0</v>
      </c>
      <c r="D14" s="26" t="n">
        <f aca="false">D12-C12</f>
        <v>5.29847260273973</v>
      </c>
      <c r="E14" s="26" t="n">
        <f aca="false">E12-D12</f>
        <v>1.24786171232877</v>
      </c>
      <c r="F14" s="26" t="n">
        <f aca="false">F12-E12</f>
        <v>1.31796478972603</v>
      </c>
      <c r="G14" s="26" t="n">
        <f aca="false">G12-F12</f>
        <v>1.00607697519863</v>
      </c>
      <c r="H14" s="26" t="n">
        <f aca="false">H12-G12</f>
        <v>0.662737503458013</v>
      </c>
      <c r="I14" s="26" t="n">
        <f aca="false">I12-H12</f>
        <v>0.694518415193501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120</v>
      </c>
    </row>
    <row r="3" customFormat="false" ht="15" hidden="false" customHeight="true" outlineLevel="0" collapsed="false">
      <c r="A3" s="16"/>
      <c r="B3" s="16"/>
      <c r="C3" s="16"/>
      <c r="D3" s="17" t="s">
        <v>121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25" t="s">
        <v>122</v>
      </c>
    </row>
    <row r="6" customFormat="false" ht="15" hidden="false" customHeight="true" outlineLevel="0" collapsed="false">
      <c r="A6" s="6" t="s">
        <v>123</v>
      </c>
      <c r="B6" s="10" t="n">
        <v>0</v>
      </c>
      <c r="C6" s="10" t="n">
        <v>50</v>
      </c>
      <c r="D6" s="10" t="n">
        <v>800</v>
      </c>
      <c r="E6" s="10" t="n">
        <v>900</v>
      </c>
      <c r="F6" s="10" t="n">
        <v>1000</v>
      </c>
      <c r="G6" s="10" t="n">
        <v>1050</v>
      </c>
      <c r="H6" s="10" t="n">
        <v>1100</v>
      </c>
      <c r="I6" s="10" t="n">
        <v>1100</v>
      </c>
    </row>
    <row r="7" customFormat="false" ht="15" hidden="false" customHeight="true" outlineLevel="0" collapsed="false">
      <c r="A7" s="6" t="s">
        <v>124</v>
      </c>
      <c r="B7" s="10" t="n">
        <v>0</v>
      </c>
      <c r="C7" s="10" t="n">
        <v>30</v>
      </c>
      <c r="D7" s="10" t="n">
        <v>400</v>
      </c>
      <c r="E7" s="10" t="n">
        <v>450</v>
      </c>
      <c r="F7" s="10" t="n">
        <v>500</v>
      </c>
      <c r="G7" s="10" t="n">
        <v>530</v>
      </c>
      <c r="H7" s="10" t="n">
        <v>550</v>
      </c>
      <c r="I7" s="10" t="n">
        <v>550</v>
      </c>
    </row>
    <row r="8" customFormat="false" ht="15" hidden="false" customHeight="true" outlineLevel="0" collapsed="false">
      <c r="A8" s="6" t="s">
        <v>125</v>
      </c>
      <c r="B8" s="10" t="n">
        <v>0</v>
      </c>
      <c r="C8" s="10" t="n">
        <v>20</v>
      </c>
      <c r="D8" s="10" t="n">
        <v>350</v>
      </c>
      <c r="E8" s="10" t="n">
        <v>380</v>
      </c>
      <c r="F8" s="10" t="n">
        <v>400</v>
      </c>
      <c r="G8" s="10" t="n">
        <v>420</v>
      </c>
      <c r="H8" s="10" t="n">
        <v>440</v>
      </c>
      <c r="I8" s="10" t="n">
        <v>440</v>
      </c>
    </row>
    <row r="9" customFormat="false" ht="15" hidden="false" customHeight="true" outlineLevel="0" collapsed="false">
      <c r="A9" s="6" t="s">
        <v>126</v>
      </c>
      <c r="B9" s="10" t="n">
        <v>0</v>
      </c>
      <c r="C9" s="10" t="n">
        <v>30</v>
      </c>
      <c r="D9" s="10" t="n">
        <v>200</v>
      </c>
      <c r="E9" s="10" t="n">
        <v>220</v>
      </c>
      <c r="F9" s="10" t="n">
        <v>240</v>
      </c>
      <c r="G9" s="10" t="n">
        <v>250</v>
      </c>
      <c r="H9" s="10" t="n">
        <v>260</v>
      </c>
      <c r="I9" s="10" t="n">
        <v>260</v>
      </c>
    </row>
    <row r="10" customFormat="false" ht="15" hidden="false" customHeight="true" outlineLevel="0" collapsed="false">
      <c r="A10" s="6" t="s">
        <v>127</v>
      </c>
      <c r="B10" s="10" t="n">
        <v>0</v>
      </c>
      <c r="C10" s="10" t="n">
        <v>10</v>
      </c>
      <c r="D10" s="10" t="n">
        <v>150</v>
      </c>
      <c r="E10" s="10" t="n">
        <v>160</v>
      </c>
      <c r="F10" s="10" t="n">
        <v>170</v>
      </c>
      <c r="G10" s="10" t="n">
        <v>180</v>
      </c>
      <c r="H10" s="10" t="n">
        <v>190</v>
      </c>
      <c r="I10" s="10" t="n">
        <v>190</v>
      </c>
    </row>
    <row r="11" customFormat="false" ht="15" hidden="false" customHeight="true" outlineLevel="0" collapsed="false">
      <c r="A11" s="6" t="s">
        <v>128</v>
      </c>
      <c r="B11" s="10" t="n">
        <v>0</v>
      </c>
      <c r="C11" s="10" t="n">
        <v>15</v>
      </c>
      <c r="D11" s="10" t="n">
        <v>80</v>
      </c>
      <c r="E11" s="10" t="n">
        <v>85</v>
      </c>
      <c r="F11" s="10" t="n">
        <v>90</v>
      </c>
      <c r="G11" s="10" t="n">
        <v>95</v>
      </c>
      <c r="H11" s="10" t="n">
        <v>100</v>
      </c>
      <c r="I11" s="10" t="n">
        <v>100</v>
      </c>
    </row>
    <row r="12" customFormat="false" ht="15" hidden="false" customHeight="true" outlineLevel="0" collapsed="false">
      <c r="A12" s="6" t="s">
        <v>129</v>
      </c>
      <c r="B12" s="10" t="n">
        <v>0</v>
      </c>
      <c r="C12" s="10" t="n">
        <v>20</v>
      </c>
      <c r="D12" s="10" t="n">
        <v>120</v>
      </c>
      <c r="E12" s="10" t="n">
        <v>125</v>
      </c>
      <c r="F12" s="10" t="n">
        <v>130</v>
      </c>
      <c r="G12" s="10" t="n">
        <v>135</v>
      </c>
      <c r="H12" s="10" t="n">
        <v>140</v>
      </c>
      <c r="I12" s="10" t="n">
        <v>140</v>
      </c>
    </row>
    <row r="13" customFormat="false" ht="15" hidden="false" customHeight="true" outlineLevel="0" collapsed="false">
      <c r="A13" s="23" t="s">
        <v>130</v>
      </c>
      <c r="B13" s="27" t="n">
        <f aca="false">SUM(B6:B12)</f>
        <v>0</v>
      </c>
      <c r="C13" s="27" t="n">
        <f aca="false">SUM(C6:C12)</f>
        <v>175</v>
      </c>
      <c r="D13" s="27" t="n">
        <f aca="false">SUM(D6:D12)</f>
        <v>2100</v>
      </c>
      <c r="E13" s="27" t="n">
        <f aca="false">SUM(E6:E12)</f>
        <v>2320</v>
      </c>
      <c r="F13" s="27" t="n">
        <f aca="false">SUM(F6:F12)</f>
        <v>2530</v>
      </c>
      <c r="G13" s="27" t="n">
        <f aca="false">SUM(G6:G12)</f>
        <v>2660</v>
      </c>
      <c r="H13" s="27" t="n">
        <f aca="false">SUM(H6:H12)</f>
        <v>2780</v>
      </c>
      <c r="I13" s="27" t="n">
        <f aca="false">SUM(I6:I12)</f>
        <v>2780</v>
      </c>
    </row>
    <row r="15" customFormat="false" ht="15" hidden="false" customHeight="true" outlineLevel="0" collapsed="false">
      <c r="A15" s="25" t="s">
        <v>131</v>
      </c>
    </row>
    <row r="16" customFormat="false" ht="15" hidden="false" customHeight="true" outlineLevel="0" collapsed="false">
      <c r="A16" s="6" t="s">
        <v>132</v>
      </c>
      <c r="B16" s="10" t="n">
        <v>10800</v>
      </c>
      <c r="C16" s="10" t="n">
        <v>10800</v>
      </c>
      <c r="D16" s="10" t="n">
        <v>10800</v>
      </c>
      <c r="E16" s="10" t="n">
        <v>10800</v>
      </c>
      <c r="F16" s="10" t="n">
        <v>10800</v>
      </c>
      <c r="G16" s="10" t="n">
        <v>10800</v>
      </c>
      <c r="H16" s="10" t="n">
        <v>10800</v>
      </c>
      <c r="I16" s="10" t="n">
        <v>10800</v>
      </c>
    </row>
    <row r="18" customFormat="false" ht="15" hidden="false" customHeight="true" outlineLevel="0" collapsed="false">
      <c r="A18" s="23" t="s">
        <v>133</v>
      </c>
      <c r="B18" s="24" t="n">
        <f aca="false">B13*B16/1000000</f>
        <v>0</v>
      </c>
      <c r="C18" s="24" t="n">
        <f aca="false">C13*C16/1000000</f>
        <v>1.89</v>
      </c>
      <c r="D18" s="24" t="n">
        <f aca="false">D13*D16/1000000</f>
        <v>22.68</v>
      </c>
      <c r="E18" s="24" t="n">
        <f aca="false">E13*E16/1000000</f>
        <v>25.056</v>
      </c>
      <c r="F18" s="24" t="n">
        <f aca="false">F13*F16/1000000</f>
        <v>27.324</v>
      </c>
      <c r="G18" s="24" t="n">
        <f aca="false">G13*G16/1000000</f>
        <v>28.728</v>
      </c>
      <c r="H18" s="24" t="n">
        <f aca="false">H13*H16/1000000</f>
        <v>30.024</v>
      </c>
      <c r="I18" s="24" t="n">
        <f aca="false">I13*I16/1000000</f>
        <v>30.024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134</v>
      </c>
    </row>
    <row r="3" customFormat="false" ht="15" hidden="false" customHeight="true" outlineLevel="0" collapsed="false">
      <c r="A3" s="16"/>
      <c r="B3" s="16"/>
      <c r="C3" s="16"/>
      <c r="D3" s="17" t="s">
        <v>135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6" t="s">
        <v>136</v>
      </c>
      <c r="B5" s="28" t="n">
        <v>3</v>
      </c>
      <c r="C5" s="28" t="n">
        <v>8</v>
      </c>
      <c r="D5" s="28" t="n">
        <v>5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</row>
    <row r="6" customFormat="false" ht="15" hidden="false" customHeight="true" outlineLevel="0" collapsed="false">
      <c r="A6" s="6" t="s">
        <v>137</v>
      </c>
      <c r="B6" s="28" t="n">
        <v>1</v>
      </c>
      <c r="C6" s="28" t="n">
        <v>2</v>
      </c>
      <c r="D6" s="28" t="n">
        <v>4</v>
      </c>
      <c r="E6" s="28" t="n">
        <v>5</v>
      </c>
      <c r="F6" s="28" t="n">
        <v>5</v>
      </c>
      <c r="G6" s="28" t="n">
        <v>5</v>
      </c>
      <c r="H6" s="28" t="n">
        <v>6</v>
      </c>
      <c r="I6" s="28" t="n">
        <v>6</v>
      </c>
    </row>
    <row r="7" customFormat="false" ht="15" hidden="false" customHeight="true" outlineLevel="0" collapsed="false">
      <c r="A7" s="6" t="s">
        <v>138</v>
      </c>
      <c r="B7" s="28" t="n">
        <v>0</v>
      </c>
      <c r="C7" s="28" t="n">
        <v>2</v>
      </c>
      <c r="D7" s="28" t="n">
        <v>5</v>
      </c>
      <c r="E7" s="28" t="n">
        <v>4</v>
      </c>
      <c r="F7" s="28" t="n">
        <v>3</v>
      </c>
      <c r="G7" s="28" t="n">
        <v>3</v>
      </c>
      <c r="H7" s="28" t="n">
        <v>3</v>
      </c>
      <c r="I7" s="28" t="n">
        <v>3</v>
      </c>
    </row>
    <row r="8" customFormat="false" ht="15" hidden="false" customHeight="true" outlineLevel="0" collapsed="false">
      <c r="A8" s="6" t="s">
        <v>139</v>
      </c>
      <c r="B8" s="28" t="n">
        <v>0</v>
      </c>
      <c r="C8" s="28" t="n">
        <v>1</v>
      </c>
      <c r="D8" s="28" t="n">
        <v>3</v>
      </c>
      <c r="E8" s="28" t="n">
        <v>3</v>
      </c>
      <c r="F8" s="28" t="n">
        <v>3</v>
      </c>
      <c r="G8" s="28" t="n">
        <v>3</v>
      </c>
      <c r="H8" s="28" t="n">
        <v>3</v>
      </c>
      <c r="I8" s="28" t="n">
        <v>3</v>
      </c>
    </row>
    <row r="9" customFormat="false" ht="15" hidden="false" customHeight="true" outlineLevel="0" collapsed="false">
      <c r="A9" s="6" t="s">
        <v>140</v>
      </c>
      <c r="B9" s="28" t="n">
        <v>0</v>
      </c>
      <c r="C9" s="28" t="n">
        <v>1</v>
      </c>
      <c r="D9" s="28" t="n">
        <v>3</v>
      </c>
      <c r="E9" s="28" t="n">
        <v>2</v>
      </c>
      <c r="F9" s="28" t="n">
        <v>2</v>
      </c>
      <c r="G9" s="28" t="n">
        <v>2</v>
      </c>
      <c r="H9" s="28" t="n">
        <v>2</v>
      </c>
      <c r="I9" s="28" t="n">
        <v>2</v>
      </c>
    </row>
    <row r="10" customFormat="false" ht="15" hidden="false" customHeight="true" outlineLevel="0" collapsed="false">
      <c r="A10" s="6" t="s">
        <v>141</v>
      </c>
      <c r="B10" s="28" t="n">
        <v>0</v>
      </c>
      <c r="C10" s="28" t="n">
        <v>0</v>
      </c>
      <c r="D10" s="28" t="n">
        <v>1</v>
      </c>
      <c r="E10" s="28" t="n">
        <v>2</v>
      </c>
      <c r="F10" s="28" t="n">
        <v>2</v>
      </c>
      <c r="G10" s="28" t="n">
        <v>2</v>
      </c>
      <c r="H10" s="28" t="n">
        <v>2</v>
      </c>
      <c r="I10" s="28" t="n">
        <v>2</v>
      </c>
    </row>
    <row r="11" customFormat="false" ht="15" hidden="false" customHeight="true" outlineLevel="0" collapsed="false">
      <c r="A11" s="23" t="s">
        <v>142</v>
      </c>
      <c r="B11" s="24" t="n">
        <f aca="false">SUM(B5:B10)</f>
        <v>4</v>
      </c>
      <c r="C11" s="24" t="n">
        <f aca="false">SUM(C5:C10)</f>
        <v>14</v>
      </c>
      <c r="D11" s="24" t="n">
        <f aca="false">SUM(D5:D10)</f>
        <v>21</v>
      </c>
      <c r="E11" s="24" t="n">
        <f aca="false">SUM(E5:E10)</f>
        <v>16</v>
      </c>
      <c r="F11" s="24" t="n">
        <f aca="false">SUM(F5:F10)</f>
        <v>15</v>
      </c>
      <c r="G11" s="24" t="n">
        <f aca="false">SUM(G5:G10)</f>
        <v>15</v>
      </c>
      <c r="H11" s="24" t="n">
        <f aca="false">SUM(H5:H10)</f>
        <v>16</v>
      </c>
      <c r="I11" s="24" t="n">
        <f aca="false">SUM(I5:I10)</f>
        <v>16</v>
      </c>
    </row>
    <row r="13" customFormat="false" ht="15" hidden="false" customHeight="true" outlineLevel="0" collapsed="false">
      <c r="A13" s="6" t="s">
        <v>143</v>
      </c>
      <c r="B13" s="29"/>
      <c r="C13" s="29"/>
      <c r="D13" s="29" t="n">
        <f aca="false">D11/Revenue!D12</f>
        <v>0.114015799332193</v>
      </c>
      <c r="E13" s="29" t="n">
        <f aca="false">E11/Revenue!E12</f>
        <v>0.0703101843642894</v>
      </c>
      <c r="F13" s="29" t="n">
        <f aca="false">F11/Revenue!F12</f>
        <v>0.0548690790577888</v>
      </c>
      <c r="G13" s="29" t="n">
        <f aca="false">G11/Revenue!G12</f>
        <v>0.0486458347902879</v>
      </c>
      <c r="H13" s="29" t="n">
        <f aca="false">H11/Revenue!H12</f>
        <v>0.0482815995606875</v>
      </c>
      <c r="I13" s="29" t="n">
        <f aca="false">I11/Revenue!I12</f>
        <v>0.0450029853111389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144</v>
      </c>
    </row>
    <row r="3" customFormat="false" ht="15" hidden="false" customHeight="true" outlineLevel="0" collapsed="false">
      <c r="A3" s="16"/>
      <c r="B3" s="16"/>
      <c r="C3" s="16"/>
      <c r="D3" s="17" t="s">
        <v>145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19" t="s">
        <v>146</v>
      </c>
      <c r="B5" s="26" t="n">
        <f aca="false">Revenue!B12</f>
        <v>0</v>
      </c>
      <c r="C5" s="26" t="n">
        <f aca="false">Revenue!C12</f>
        <v>0</v>
      </c>
      <c r="D5" s="26" t="n">
        <f aca="false">Revenue!D12</f>
        <v>184.185</v>
      </c>
      <c r="E5" s="26" t="n">
        <f aca="false">Revenue!E12</f>
        <v>227.56305</v>
      </c>
      <c r="F5" s="26" t="n">
        <f aca="false">Revenue!F12</f>
        <v>273.3780165</v>
      </c>
      <c r="G5" s="26" t="n">
        <f aca="false">Revenue!G12</f>
        <v>308.351168495</v>
      </c>
      <c r="H5" s="26" t="n">
        <f aca="false">Revenue!H12</f>
        <v>331.38918647235</v>
      </c>
      <c r="I5" s="26" t="n">
        <f aca="false">Revenue!I12</f>
        <v>355.531969476696</v>
      </c>
    </row>
    <row r="6" customFormat="false" ht="15" hidden="false" customHeight="true" outlineLevel="0" collapsed="false">
      <c r="A6" s="6" t="s">
        <v>147</v>
      </c>
      <c r="B6" s="22" t="n">
        <f aca="false">-B5*Assumptions!B24</f>
        <v>-0</v>
      </c>
      <c r="C6" s="22" t="n">
        <f aca="false">-C5*Assumptions!B24</f>
        <v>-0</v>
      </c>
      <c r="D6" s="22" t="n">
        <f aca="false">-D5*Assumptions!B24</f>
        <v>-55.2555</v>
      </c>
      <c r="E6" s="22" t="n">
        <f aca="false">-E5*Assumptions!B24</f>
        <v>-68.268915</v>
      </c>
      <c r="F6" s="22" t="n">
        <f aca="false">-F5*Assumptions!B24</f>
        <v>-82.01340495</v>
      </c>
      <c r="G6" s="22" t="n">
        <f aca="false">-G5*Assumptions!B24</f>
        <v>-92.5053505485</v>
      </c>
      <c r="H6" s="22" t="n">
        <f aca="false">-H5*Assumptions!B24</f>
        <v>-99.416755941705</v>
      </c>
      <c r="I6" s="22" t="n">
        <f aca="false">-I5*Assumptions!B24</f>
        <v>-106.659590843009</v>
      </c>
    </row>
    <row r="7" customFormat="false" ht="15" hidden="false" customHeight="true" outlineLevel="0" collapsed="false">
      <c r="A7" s="23" t="s">
        <v>148</v>
      </c>
      <c r="B7" s="24" t="n">
        <f aca="false">B5+B6</f>
        <v>0</v>
      </c>
      <c r="C7" s="24" t="n">
        <f aca="false">C5+C6</f>
        <v>0</v>
      </c>
      <c r="D7" s="24" t="n">
        <f aca="false">D5+D6</f>
        <v>128.9295</v>
      </c>
      <c r="E7" s="24" t="n">
        <f aca="false">E5+E6</f>
        <v>159.294135</v>
      </c>
      <c r="F7" s="24" t="n">
        <f aca="false">F5+F6</f>
        <v>191.36461155</v>
      </c>
      <c r="G7" s="24" t="n">
        <f aca="false">G5+G6</f>
        <v>215.8458179465</v>
      </c>
      <c r="H7" s="24" t="n">
        <f aca="false">H5+H6</f>
        <v>231.972430530645</v>
      </c>
      <c r="I7" s="24" t="n">
        <f aca="false">I5+I6</f>
        <v>248.872378633687</v>
      </c>
    </row>
    <row r="8" customFormat="false" ht="15" hidden="false" customHeight="true" outlineLevel="0" collapsed="false">
      <c r="A8" s="6" t="s">
        <v>149</v>
      </c>
      <c r="B8" s="22" t="n">
        <v>0</v>
      </c>
      <c r="C8" s="22" t="n">
        <v>0</v>
      </c>
      <c r="D8" s="22" t="n">
        <f aca="false">-D5*(Assumptions!B25-Assumptions!B26*0)</f>
        <v>-46.04625</v>
      </c>
      <c r="E8" s="22" t="n">
        <f aca="false">-E5*(Assumptions!B25-Assumptions!B26*1)</f>
        <v>-55.75294725</v>
      </c>
      <c r="F8" s="22" t="n">
        <f aca="false">-F5*(Assumptions!B25-Assumptions!B26*2)</f>
        <v>-65.61072396</v>
      </c>
      <c r="G8" s="22" t="n">
        <f aca="false">-G5*(Assumptions!B25-Assumptions!B26*3)</f>
        <v>-72.462524596325</v>
      </c>
      <c r="H8" s="22" t="n">
        <f aca="false">-H5*(Assumptions!B25-Assumptions!B26*4)</f>
        <v>-76.2195128886405</v>
      </c>
      <c r="I8" s="22" t="n">
        <f aca="false">-I5*(Assumptions!B25-Assumptions!B26*5)</f>
        <v>-79.9946931322565</v>
      </c>
    </row>
    <row r="9" customFormat="false" ht="15" hidden="false" customHeight="true" outlineLevel="0" collapsed="false">
      <c r="A9" s="6" t="s">
        <v>150</v>
      </c>
      <c r="B9" s="22" t="n">
        <f aca="false">-CapEx!B24</f>
        <v>-0</v>
      </c>
      <c r="C9" s="22" t="n">
        <f aca="false">-CapEx!C24</f>
        <v>-0</v>
      </c>
      <c r="D9" s="22" t="n">
        <f aca="false">-CapEx!D24</f>
        <v>-44</v>
      </c>
      <c r="E9" s="22" t="n">
        <f aca="false">-CapEx!E24</f>
        <v>-44</v>
      </c>
      <c r="F9" s="22" t="n">
        <f aca="false">-CapEx!F24</f>
        <v>-45.13781525</v>
      </c>
      <c r="G9" s="22" t="n">
        <f aca="false">-CapEx!G24</f>
        <v>-46.5047053325</v>
      </c>
      <c r="H9" s="22" t="n">
        <f aca="false">-CapEx!H24</f>
        <v>-48.046461174975</v>
      </c>
      <c r="I9" s="22" t="n">
        <f aca="false">-CapEx!I24</f>
        <v>-49.7034071073368</v>
      </c>
    </row>
    <row r="10" customFormat="false" ht="15" hidden="false" customHeight="true" outlineLevel="0" collapsed="false">
      <c r="A10" s="6" t="s">
        <v>151</v>
      </c>
      <c r="B10" s="22" t="n">
        <v>0</v>
      </c>
      <c r="C10" s="22" t="n">
        <v>0</v>
      </c>
      <c r="D10" s="22" t="n">
        <f aca="false">-HR!D18</f>
        <v>-22.68</v>
      </c>
      <c r="E10" s="22" t="n">
        <f aca="false">-HR!E18</f>
        <v>-25.056</v>
      </c>
      <c r="F10" s="22" t="n">
        <f aca="false">-HR!F18</f>
        <v>-27.324</v>
      </c>
      <c r="G10" s="22" t="n">
        <f aca="false">-HR!G18</f>
        <v>-28.728</v>
      </c>
      <c r="H10" s="22" t="n">
        <f aca="false">-HR!H18</f>
        <v>-30.024</v>
      </c>
      <c r="I10" s="22" t="n">
        <f aca="false">-HR!I18</f>
        <v>-30.024</v>
      </c>
    </row>
    <row r="11" customFormat="false" ht="15" hidden="false" customHeight="true" outlineLevel="0" collapsed="false">
      <c r="A11" s="6" t="s">
        <v>152</v>
      </c>
      <c r="B11" s="22" t="n">
        <v>0</v>
      </c>
      <c r="C11" s="22" t="n">
        <v>0</v>
      </c>
      <c r="D11" s="22" t="n">
        <f aca="false">-Marketing!D11</f>
        <v>-21</v>
      </c>
      <c r="E11" s="22" t="n">
        <f aca="false">-Marketing!E11</f>
        <v>-16</v>
      </c>
      <c r="F11" s="22" t="n">
        <f aca="false">-Marketing!F11</f>
        <v>-15</v>
      </c>
      <c r="G11" s="22" t="n">
        <f aca="false">-Marketing!G11</f>
        <v>-15</v>
      </c>
      <c r="H11" s="22" t="n">
        <f aca="false">-Marketing!H11</f>
        <v>-16</v>
      </c>
      <c r="I11" s="22" t="n">
        <f aca="false">-Marketing!I11</f>
        <v>-16</v>
      </c>
    </row>
    <row r="12" customFormat="false" ht="15" hidden="false" customHeight="true" outlineLevel="0" collapsed="false">
      <c r="A12" s="23" t="s">
        <v>153</v>
      </c>
      <c r="B12" s="24" t="n">
        <f aca="false">B7+B8+B9+B10+B11</f>
        <v>0</v>
      </c>
      <c r="C12" s="24" t="n">
        <f aca="false">C7+C8+C9+C10+C11</f>
        <v>0</v>
      </c>
      <c r="D12" s="24" t="n">
        <f aca="false">D7+D8+D9+D10+D11</f>
        <v>-4.79674999999998</v>
      </c>
      <c r="E12" s="24" t="n">
        <f aca="false">E7+E8+E9+E10+E11</f>
        <v>18.48518775</v>
      </c>
      <c r="F12" s="24" t="n">
        <f aca="false">F7+F8+F9+F10+F11</f>
        <v>38.29207234</v>
      </c>
      <c r="G12" s="24" t="n">
        <f aca="false">G7+G8+G9+G10+G11</f>
        <v>53.150588017675</v>
      </c>
      <c r="H12" s="24" t="n">
        <f aca="false">H7+H8+H9+H10+H11</f>
        <v>61.6824564670295</v>
      </c>
      <c r="I12" s="24" t="n">
        <f aca="false">I7+I8+I9+I10+I11</f>
        <v>73.1502783940937</v>
      </c>
    </row>
    <row r="13" customFormat="false" ht="15" hidden="false" customHeight="true" outlineLevel="0" collapsed="false">
      <c r="A13" s="6" t="s">
        <v>154</v>
      </c>
      <c r="B13" s="22" t="n">
        <f aca="false">-Debt!B14</f>
        <v>-0</v>
      </c>
      <c r="C13" s="22" t="n">
        <f aca="false">-Debt!C14</f>
        <v>-12.672</v>
      </c>
      <c r="D13" s="22" t="n">
        <f aca="false">-Debt!D14</f>
        <v>-27.192</v>
      </c>
      <c r="E13" s="22" t="n">
        <f aca="false">-Debt!E14</f>
        <v>-33</v>
      </c>
      <c r="F13" s="22" t="n">
        <f aca="false">-Debt!F14</f>
        <v>-30.8</v>
      </c>
      <c r="G13" s="22" t="n">
        <f aca="false">-Debt!G14</f>
        <v>-28.6</v>
      </c>
      <c r="H13" s="22" t="n">
        <f aca="false">-Debt!H14</f>
        <v>-26.4</v>
      </c>
      <c r="I13" s="22" t="n">
        <f aca="false">-Debt!I14</f>
        <v>-24.2</v>
      </c>
    </row>
    <row r="14" customFormat="false" ht="15" hidden="false" customHeight="true" outlineLevel="0" collapsed="false">
      <c r="A14" s="23" t="s">
        <v>155</v>
      </c>
      <c r="B14" s="24" t="n">
        <f aca="false">B12+B13</f>
        <v>0</v>
      </c>
      <c r="C14" s="24" t="n">
        <f aca="false">C12+C13</f>
        <v>-12.672</v>
      </c>
      <c r="D14" s="24" t="n">
        <f aca="false">D12+D13</f>
        <v>-31.98875</v>
      </c>
      <c r="E14" s="24" t="n">
        <f aca="false">E12+E13</f>
        <v>-14.51481225</v>
      </c>
      <c r="F14" s="24" t="n">
        <f aca="false">F12+F13</f>
        <v>7.49207234</v>
      </c>
      <c r="G14" s="24" t="n">
        <f aca="false">G12+G13</f>
        <v>24.550588017675</v>
      </c>
      <c r="H14" s="24" t="n">
        <f aca="false">H12+H13</f>
        <v>35.2824564670295</v>
      </c>
      <c r="I14" s="24" t="n">
        <f aca="false">I12+I13</f>
        <v>48.9502783940936</v>
      </c>
    </row>
    <row r="15" customFormat="false" ht="15" hidden="false" customHeight="true" outlineLevel="0" collapsed="false">
      <c r="A15" s="6" t="s">
        <v>156</v>
      </c>
      <c r="B15" s="22" t="n">
        <f aca="false">-MAX(B14,0)*Assumptions!B53</f>
        <v>-0</v>
      </c>
      <c r="C15" s="22" t="n">
        <f aca="false">-MAX(C14,0)*Assumptions!B53</f>
        <v>-0</v>
      </c>
      <c r="D15" s="22" t="n">
        <f aca="false">-MAX(D14,0)*Assumptions!B53</f>
        <v>-0</v>
      </c>
      <c r="E15" s="22" t="n">
        <f aca="false">-MAX(E14,0)*Assumptions!B53</f>
        <v>-0</v>
      </c>
      <c r="F15" s="22" t="n">
        <f aca="false">-MAX(F14,0)*Assumptions!B53</f>
        <v>-1.873018085</v>
      </c>
      <c r="G15" s="22" t="n">
        <f aca="false">-MAX(G14,0)*Assumptions!B53</f>
        <v>-6.13764700441874</v>
      </c>
      <c r="H15" s="22" t="n">
        <f aca="false">-MAX(H14,0)*Assumptions!B53</f>
        <v>-8.82061411675737</v>
      </c>
      <c r="I15" s="22" t="n">
        <f aca="false">-MAX(I14,0)*Assumptions!B53</f>
        <v>-12.2375695985234</v>
      </c>
    </row>
    <row r="16" customFormat="false" ht="15" hidden="false" customHeight="true" outlineLevel="0" collapsed="false">
      <c r="A16" s="30" t="s">
        <v>157</v>
      </c>
      <c r="B16" s="31" t="n">
        <f aca="false">B14+B15</f>
        <v>0</v>
      </c>
      <c r="C16" s="31" t="n">
        <f aca="false">C14+C15</f>
        <v>-12.672</v>
      </c>
      <c r="D16" s="31" t="n">
        <f aca="false">D14+D15</f>
        <v>-31.98875</v>
      </c>
      <c r="E16" s="31" t="n">
        <f aca="false">E14+E15</f>
        <v>-14.51481225</v>
      </c>
      <c r="F16" s="31" t="n">
        <f aca="false">F14+F15</f>
        <v>5.619054255</v>
      </c>
      <c r="G16" s="31" t="n">
        <f aca="false">G14+G15</f>
        <v>18.4129410132562</v>
      </c>
      <c r="H16" s="31" t="n">
        <f aca="false">H14+H15</f>
        <v>26.4618423502721</v>
      </c>
      <c r="I16" s="31" t="n">
        <f aca="false">I14+I15</f>
        <v>36.7127087955702</v>
      </c>
    </row>
    <row r="19" customFormat="false" ht="15" hidden="false" customHeight="true" outlineLevel="0" collapsed="false">
      <c r="A19" s="16"/>
      <c r="B19" s="16"/>
      <c r="C19" s="16"/>
      <c r="D19" s="17" t="s">
        <v>158</v>
      </c>
      <c r="E19" s="16"/>
      <c r="F19" s="16"/>
      <c r="G19" s="16"/>
      <c r="H19" s="16"/>
      <c r="I19" s="16"/>
    </row>
    <row r="20" customFormat="false" ht="15" hidden="false" customHeight="true" outlineLevel="0" collapsed="false">
      <c r="B20" s="18" t="n">
        <v>2026</v>
      </c>
      <c r="C20" s="18" t="n">
        <v>2027</v>
      </c>
      <c r="D20" s="18" t="n">
        <v>2028</v>
      </c>
      <c r="E20" s="18" t="n">
        <v>2029</v>
      </c>
      <c r="F20" s="18" t="n">
        <v>2030</v>
      </c>
      <c r="G20" s="18" t="n">
        <v>2031</v>
      </c>
      <c r="H20" s="18" t="n">
        <v>2032</v>
      </c>
      <c r="I20" s="18" t="n">
        <v>2033</v>
      </c>
    </row>
    <row r="21" customFormat="false" ht="15" hidden="false" customHeight="true" outlineLevel="0" collapsed="false">
      <c r="A21" s="6" t="s">
        <v>159</v>
      </c>
      <c r="B21" s="22" t="n">
        <f aca="false">B69</f>
        <v>80</v>
      </c>
      <c r="C21" s="22" t="n">
        <f aca="false">C69</f>
        <v>67.328</v>
      </c>
      <c r="D21" s="22" t="n">
        <f aca="false">D69</f>
        <v>74.0407773972602</v>
      </c>
      <c r="E21" s="22" t="n">
        <f aca="false">E69</f>
        <v>39.5217984349315</v>
      </c>
      <c r="F21" s="22" t="n">
        <f aca="false">F69</f>
        <v>21.6229015002054</v>
      </c>
      <c r="G21" s="22" t="n">
        <f aca="false">G69</f>
        <v>14.699354021263</v>
      </c>
      <c r="H21" s="22" t="n">
        <f aca="false">H69</f>
        <v>15.4060013958171</v>
      </c>
      <c r="I21" s="22" t="n">
        <f aca="false">I69</f>
        <v>25.5744019358611</v>
      </c>
    </row>
    <row r="22" customFormat="false" ht="15" hidden="false" customHeight="true" outlineLevel="0" collapsed="false">
      <c r="A22" s="6" t="s">
        <v>115</v>
      </c>
      <c r="B22" s="22" t="n">
        <f aca="false">WorkingCapital!B8</f>
        <v>0</v>
      </c>
      <c r="C22" s="22" t="n">
        <f aca="false">WorkingCapital!C8</f>
        <v>0</v>
      </c>
      <c r="D22" s="22" t="n">
        <f aca="false">WorkingCapital!D8</f>
        <v>7.56924657534247</v>
      </c>
      <c r="E22" s="22" t="n">
        <f aca="false">WorkingCapital!E8</f>
        <v>9.35190616438356</v>
      </c>
      <c r="F22" s="22" t="n">
        <f aca="false">WorkingCapital!F8</f>
        <v>11.2347130068493</v>
      </c>
      <c r="G22" s="22" t="n">
        <f aca="false">WorkingCapital!G8</f>
        <v>12.6719658285616</v>
      </c>
      <c r="H22" s="22" t="n">
        <f aca="false">WorkingCapital!H8</f>
        <v>13.6187336906445</v>
      </c>
      <c r="I22" s="22" t="n">
        <f aca="false">WorkingCapital!I8</f>
        <v>14.6109028552067</v>
      </c>
    </row>
    <row r="23" customFormat="false" ht="15" hidden="false" customHeight="true" outlineLevel="0" collapsed="false">
      <c r="A23" s="6" t="s">
        <v>116</v>
      </c>
      <c r="B23" s="22" t="n">
        <f aca="false">WorkingCapital!B9</f>
        <v>0</v>
      </c>
      <c r="C23" s="22" t="n">
        <f aca="false">WorkingCapital!C9</f>
        <v>0</v>
      </c>
      <c r="D23" s="22" t="n">
        <f aca="false">WorkingCapital!D9</f>
        <v>4.54154794520548</v>
      </c>
      <c r="E23" s="22" t="n">
        <f aca="false">WorkingCapital!E9</f>
        <v>5.61114369863014</v>
      </c>
      <c r="F23" s="22" t="n">
        <f aca="false">WorkingCapital!F9</f>
        <v>6.74082780410959</v>
      </c>
      <c r="G23" s="22" t="n">
        <f aca="false">WorkingCapital!G9</f>
        <v>7.60317949713699</v>
      </c>
      <c r="H23" s="22" t="n">
        <f aca="false">WorkingCapital!H9</f>
        <v>8.17124021438671</v>
      </c>
      <c r="I23" s="22" t="n">
        <f aca="false">WorkingCapital!I9</f>
        <v>8.766541713124</v>
      </c>
    </row>
    <row r="24" customFormat="false" ht="15" hidden="false" customHeight="true" outlineLevel="0" collapsed="false">
      <c r="A24" s="23" t="s">
        <v>160</v>
      </c>
      <c r="B24" s="24" t="n">
        <f aca="false">B21+B22+B23</f>
        <v>80</v>
      </c>
      <c r="C24" s="24" t="n">
        <f aca="false">C21+C22+C23</f>
        <v>67.328</v>
      </c>
      <c r="D24" s="24" t="n">
        <f aca="false">D21+D22+D23</f>
        <v>86.1515719178082</v>
      </c>
      <c r="E24" s="24" t="n">
        <f aca="false">E21+E22+E23</f>
        <v>54.4848482979452</v>
      </c>
      <c r="F24" s="24" t="n">
        <f aca="false">F21+F22+F23</f>
        <v>39.5984423111643</v>
      </c>
      <c r="G24" s="24" t="n">
        <f aca="false">G21+G22+G23</f>
        <v>34.9744993469617</v>
      </c>
      <c r="H24" s="24" t="n">
        <f aca="false">H21+H22+H23</f>
        <v>37.1959753008483</v>
      </c>
      <c r="I24" s="24" t="n">
        <f aca="false">I21+I22+I23</f>
        <v>48.9518465041917</v>
      </c>
    </row>
    <row r="26" customFormat="false" ht="15" hidden="false" customHeight="true" outlineLevel="0" collapsed="false">
      <c r="A26" s="6" t="s">
        <v>100</v>
      </c>
      <c r="B26" s="22" t="n">
        <f aca="false">CapEx!B35</f>
        <v>384</v>
      </c>
      <c r="C26" s="22" t="n">
        <f aca="false">CapEx!C35</f>
        <v>824</v>
      </c>
      <c r="D26" s="22" t="n">
        <f aca="false">CapEx!D35</f>
        <v>956</v>
      </c>
      <c r="E26" s="22" t="n">
        <f aca="false">CapEx!E35</f>
        <v>934.756305</v>
      </c>
      <c r="F26" s="22" t="n">
        <f aca="false">CapEx!F35</f>
        <v>916.9562914</v>
      </c>
      <c r="G26" s="22" t="n">
        <f aca="false">CapEx!G35</f>
        <v>901.286702917</v>
      </c>
      <c r="H26" s="22" t="n">
        <f aca="false">CapEx!H35</f>
        <v>886.37916038926</v>
      </c>
      <c r="I26" s="22" t="n">
        <f aca="false">CapEx!I35</f>
        <v>872.228950229593</v>
      </c>
    </row>
    <row r="27" customFormat="false" ht="15" hidden="false" customHeight="true" outlineLevel="0" collapsed="false">
      <c r="A27" s="6" t="s">
        <v>161</v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</row>
    <row r="28" customFormat="false" ht="15" hidden="false" customHeight="true" outlineLevel="0" collapsed="false">
      <c r="A28" s="23" t="s">
        <v>162</v>
      </c>
      <c r="B28" s="24" t="n">
        <f aca="false">B26+B27</f>
        <v>384</v>
      </c>
      <c r="C28" s="24" t="n">
        <f aca="false">C26+C27</f>
        <v>824</v>
      </c>
      <c r="D28" s="24" t="n">
        <f aca="false">D26+D27</f>
        <v>956</v>
      </c>
      <c r="E28" s="24" t="n">
        <f aca="false">E26+E27</f>
        <v>934.756305</v>
      </c>
      <c r="F28" s="24" t="n">
        <f aca="false">F26+F27</f>
        <v>916.9562914</v>
      </c>
      <c r="G28" s="24" t="n">
        <f aca="false">G26+G27</f>
        <v>901.286702917</v>
      </c>
      <c r="H28" s="24" t="n">
        <f aca="false">H26+H27</f>
        <v>886.37916038926</v>
      </c>
      <c r="I28" s="24" t="n">
        <f aca="false">I26+I27</f>
        <v>872.228950229593</v>
      </c>
    </row>
    <row r="30" customFormat="false" ht="15" hidden="false" customHeight="true" outlineLevel="0" collapsed="false">
      <c r="A30" s="30" t="s">
        <v>163</v>
      </c>
      <c r="B30" s="31" t="n">
        <f aca="false">B24+B28</f>
        <v>464</v>
      </c>
      <c r="C30" s="31" t="n">
        <f aca="false">C24+C28</f>
        <v>891.328</v>
      </c>
      <c r="D30" s="31" t="n">
        <f aca="false">D24+D28</f>
        <v>1042.15157191781</v>
      </c>
      <c r="E30" s="31" t="n">
        <f aca="false">E24+E28</f>
        <v>989.241153297945</v>
      </c>
      <c r="F30" s="31" t="n">
        <f aca="false">F24+F28</f>
        <v>956.554733711164</v>
      </c>
      <c r="G30" s="31" t="n">
        <f aca="false">G24+G28</f>
        <v>936.261202263962</v>
      </c>
      <c r="H30" s="31" t="n">
        <f aca="false">H24+H28</f>
        <v>923.575135690108</v>
      </c>
      <c r="I30" s="31" t="n">
        <f aca="false">I24+I28</f>
        <v>921.180796733784</v>
      </c>
    </row>
    <row r="32" customFormat="false" ht="15" hidden="false" customHeight="true" outlineLevel="0" collapsed="false">
      <c r="A32" s="6" t="s">
        <v>117</v>
      </c>
      <c r="B32" s="22" t="n">
        <f aca="false">WorkingCapital!B10</f>
        <v>0</v>
      </c>
      <c r="C32" s="22" t="n">
        <f aca="false">WorkingCapital!C10</f>
        <v>0</v>
      </c>
      <c r="D32" s="22" t="n">
        <f aca="false">WorkingCapital!D10</f>
        <v>6.81232191780822</v>
      </c>
      <c r="E32" s="22" t="n">
        <f aca="false">WorkingCapital!E10</f>
        <v>8.41671554794521</v>
      </c>
      <c r="F32" s="22" t="n">
        <f aca="false">WorkingCapital!F10</f>
        <v>10.1112417061644</v>
      </c>
      <c r="G32" s="22" t="n">
        <f aca="false">WorkingCapital!G10</f>
        <v>11.4047692457055</v>
      </c>
      <c r="H32" s="22" t="n">
        <f aca="false">WorkingCapital!H10</f>
        <v>12.2568603215801</v>
      </c>
      <c r="I32" s="22" t="n">
        <f aca="false">WorkingCapital!I10</f>
        <v>13.149812569686</v>
      </c>
    </row>
    <row r="33" customFormat="false" ht="15" hidden="false" customHeight="true" outlineLevel="0" collapsed="false">
      <c r="A33" s="6" t="s">
        <v>164</v>
      </c>
      <c r="B33" s="22" t="n">
        <v>0</v>
      </c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</row>
    <row r="34" customFormat="false" ht="15" hidden="false" customHeight="true" outlineLevel="0" collapsed="false">
      <c r="A34" s="6" t="s">
        <v>165</v>
      </c>
      <c r="B34" s="22" t="n">
        <f aca="false">Debt!B16</f>
        <v>0</v>
      </c>
      <c r="C34" s="22" t="n">
        <f aca="false">Debt!C16</f>
        <v>0</v>
      </c>
      <c r="D34" s="22" t="n">
        <f aca="false">Debt!D16</f>
        <v>40</v>
      </c>
      <c r="E34" s="22" t="n">
        <f aca="false">Debt!E16</f>
        <v>40</v>
      </c>
      <c r="F34" s="22" t="n">
        <f aca="false">Debt!F16</f>
        <v>40</v>
      </c>
      <c r="G34" s="22" t="n">
        <f aca="false">Debt!G16</f>
        <v>40</v>
      </c>
      <c r="H34" s="22" t="n">
        <f aca="false">Debt!H16</f>
        <v>40</v>
      </c>
      <c r="I34" s="22" t="n">
        <f aca="false">Debt!I16</f>
        <v>40</v>
      </c>
    </row>
    <row r="35" customFormat="false" ht="15" hidden="false" customHeight="true" outlineLevel="0" collapsed="false">
      <c r="A35" s="23" t="s">
        <v>166</v>
      </c>
      <c r="B35" s="24" t="n">
        <f aca="false">B32+B33+B34</f>
        <v>0</v>
      </c>
      <c r="C35" s="24" t="n">
        <f aca="false">C32+C33+C34</f>
        <v>0</v>
      </c>
      <c r="D35" s="24" t="n">
        <f aca="false">D32+D33+D34</f>
        <v>46.8123219178082</v>
      </c>
      <c r="E35" s="24" t="n">
        <f aca="false">E32+E33+E34</f>
        <v>48.4167155479452</v>
      </c>
      <c r="F35" s="24" t="n">
        <f aca="false">F32+F33+F34</f>
        <v>50.1112417061644</v>
      </c>
      <c r="G35" s="24" t="n">
        <f aca="false">G32+G33+G34</f>
        <v>51.4047692457055</v>
      </c>
      <c r="H35" s="24" t="n">
        <f aca="false">H32+H33+H34</f>
        <v>52.2568603215801</v>
      </c>
      <c r="I35" s="24" t="n">
        <f aca="false">I32+I33+I34</f>
        <v>53.149812569686</v>
      </c>
    </row>
    <row r="37" customFormat="false" ht="15" hidden="false" customHeight="true" outlineLevel="0" collapsed="false">
      <c r="A37" s="6" t="s">
        <v>167</v>
      </c>
      <c r="B37" s="22" t="n">
        <f aca="false">Debt!B17</f>
        <v>230.4</v>
      </c>
      <c r="C37" s="22" t="n">
        <f aca="false">Debt!C17</f>
        <v>494.4</v>
      </c>
      <c r="D37" s="22" t="n">
        <f aca="false">Debt!D17</f>
        <v>560</v>
      </c>
      <c r="E37" s="22" t="n">
        <f aca="false">Debt!E17</f>
        <v>520</v>
      </c>
      <c r="F37" s="22" t="n">
        <f aca="false">Debt!F17</f>
        <v>480</v>
      </c>
      <c r="G37" s="22" t="n">
        <f aca="false">Debt!G17</f>
        <v>440</v>
      </c>
      <c r="H37" s="22" t="n">
        <f aca="false">Debt!H17</f>
        <v>400</v>
      </c>
      <c r="I37" s="22" t="n">
        <f aca="false">Debt!I17</f>
        <v>360</v>
      </c>
    </row>
    <row r="38" customFormat="false" ht="15" hidden="false" customHeight="true" outlineLevel="0" collapsed="false">
      <c r="A38" s="6" t="s">
        <v>168</v>
      </c>
      <c r="B38" s="22" t="n">
        <v>0</v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</row>
    <row r="39" customFormat="false" ht="15" hidden="false" customHeight="true" outlineLevel="0" collapsed="false">
      <c r="A39" s="23" t="s">
        <v>169</v>
      </c>
      <c r="B39" s="24" t="n">
        <f aca="false">B37+B38</f>
        <v>230.4</v>
      </c>
      <c r="C39" s="24" t="n">
        <f aca="false">C37+C38</f>
        <v>494.4</v>
      </c>
      <c r="D39" s="24" t="n">
        <f aca="false">D37+D38</f>
        <v>560</v>
      </c>
      <c r="E39" s="24" t="n">
        <f aca="false">E37+E38</f>
        <v>520</v>
      </c>
      <c r="F39" s="24" t="n">
        <f aca="false">F37+F38</f>
        <v>480</v>
      </c>
      <c r="G39" s="24" t="n">
        <f aca="false">G37+G38</f>
        <v>440</v>
      </c>
      <c r="H39" s="24" t="n">
        <f aca="false">H37+H38</f>
        <v>400</v>
      </c>
      <c r="I39" s="24" t="n">
        <f aca="false">I37+I38</f>
        <v>360</v>
      </c>
    </row>
    <row r="41" customFormat="false" ht="15" hidden="false" customHeight="true" outlineLevel="0" collapsed="false">
      <c r="A41" s="23" t="s">
        <v>170</v>
      </c>
      <c r="B41" s="24" t="n">
        <f aca="false">B35+B39</f>
        <v>230.4</v>
      </c>
      <c r="C41" s="24" t="n">
        <f aca="false">C35+C39</f>
        <v>494.4</v>
      </c>
      <c r="D41" s="24" t="n">
        <f aca="false">D35+D39</f>
        <v>606.812321917808</v>
      </c>
      <c r="E41" s="24" t="n">
        <f aca="false">E35+E39</f>
        <v>568.416715547945</v>
      </c>
      <c r="F41" s="24" t="n">
        <f aca="false">F35+F39</f>
        <v>530.111241706164</v>
      </c>
      <c r="G41" s="24" t="n">
        <f aca="false">G35+G39</f>
        <v>491.404769245706</v>
      </c>
      <c r="H41" s="24" t="n">
        <f aca="false">H35+H39</f>
        <v>452.25686032158</v>
      </c>
      <c r="I41" s="24" t="n">
        <f aca="false">I35+I39</f>
        <v>413.149812569686</v>
      </c>
    </row>
    <row r="43" customFormat="false" ht="15" hidden="false" customHeight="true" outlineLevel="0" collapsed="false">
      <c r="A43" s="6" t="s">
        <v>171</v>
      </c>
      <c r="B43" s="22" t="n">
        <f aca="false">CapEx!B15*Assumptions!B42+Assumptions!B61</f>
        <v>233.6</v>
      </c>
      <c r="C43" s="22" t="n">
        <f aca="false">B43+CapEx!C15*Assumptions!B42</f>
        <v>409.6</v>
      </c>
      <c r="D43" s="22" t="n">
        <f aca="false">C43+CapEx!D11*Assumptions!B42</f>
        <v>480</v>
      </c>
      <c r="E43" s="22" t="n">
        <f aca="false">D43</f>
        <v>480</v>
      </c>
      <c r="F43" s="22" t="n">
        <f aca="false">E43</f>
        <v>480</v>
      </c>
      <c r="G43" s="22" t="n">
        <f aca="false">F43</f>
        <v>480</v>
      </c>
      <c r="H43" s="22" t="n">
        <f aca="false">G43</f>
        <v>480</v>
      </c>
      <c r="I43" s="22" t="n">
        <f aca="false">H43</f>
        <v>480</v>
      </c>
    </row>
    <row r="44" customFormat="false" ht="15" hidden="false" customHeight="true" outlineLevel="0" collapsed="false">
      <c r="A44" s="6" t="s">
        <v>172</v>
      </c>
      <c r="B44" s="22" t="n">
        <f aca="false">B16</f>
        <v>0</v>
      </c>
      <c r="C44" s="22" t="n">
        <f aca="false">B44+C16</f>
        <v>-12.672</v>
      </c>
      <c r="D44" s="22" t="n">
        <f aca="false">C44+D16</f>
        <v>-44.66075</v>
      </c>
      <c r="E44" s="22" t="n">
        <f aca="false">D44+E16</f>
        <v>-59.17556225</v>
      </c>
      <c r="F44" s="22" t="n">
        <f aca="false">E44+F16</f>
        <v>-53.556507995</v>
      </c>
      <c r="G44" s="22" t="n">
        <f aca="false">F44+G16</f>
        <v>-35.1435669817437</v>
      </c>
      <c r="H44" s="22" t="n">
        <f aca="false">G44+H16</f>
        <v>-8.68172463147162</v>
      </c>
      <c r="I44" s="22" t="n">
        <f aca="false">H44+I16</f>
        <v>28.0309841640986</v>
      </c>
    </row>
    <row r="45" customFormat="false" ht="15" hidden="false" customHeight="true" outlineLevel="0" collapsed="false">
      <c r="A45" s="23" t="s">
        <v>173</v>
      </c>
      <c r="B45" s="24" t="n">
        <f aca="false">B43+B44</f>
        <v>233.6</v>
      </c>
      <c r="C45" s="24" t="n">
        <f aca="false">C43+C44</f>
        <v>396.928</v>
      </c>
      <c r="D45" s="24" t="n">
        <f aca="false">D43+D44</f>
        <v>435.33925</v>
      </c>
      <c r="E45" s="24" t="n">
        <f aca="false">E43+E44</f>
        <v>420.82443775</v>
      </c>
      <c r="F45" s="24" t="n">
        <f aca="false">F43+F44</f>
        <v>426.443492005</v>
      </c>
      <c r="G45" s="24" t="n">
        <f aca="false">G43+G44</f>
        <v>444.856433018256</v>
      </c>
      <c r="H45" s="24" t="n">
        <f aca="false">H43+H44</f>
        <v>471.318275368528</v>
      </c>
      <c r="I45" s="24" t="n">
        <f aca="false">I43+I44</f>
        <v>508.030984164099</v>
      </c>
    </row>
    <row r="47" customFormat="false" ht="15" hidden="false" customHeight="true" outlineLevel="0" collapsed="false">
      <c r="A47" s="30" t="s">
        <v>174</v>
      </c>
      <c r="B47" s="31" t="n">
        <f aca="false">B41+B45</f>
        <v>464</v>
      </c>
      <c r="C47" s="31" t="n">
        <f aca="false">C41+C45</f>
        <v>891.328</v>
      </c>
      <c r="D47" s="31" t="n">
        <f aca="false">D41+D45</f>
        <v>1042.15157191781</v>
      </c>
      <c r="E47" s="31" t="n">
        <f aca="false">E41+E45</f>
        <v>989.241153297945</v>
      </c>
      <c r="F47" s="31" t="n">
        <f aca="false">F41+F45</f>
        <v>956.554733711164</v>
      </c>
      <c r="G47" s="31" t="n">
        <f aca="false">G41+G45</f>
        <v>936.261202263962</v>
      </c>
      <c r="H47" s="31" t="n">
        <f aca="false">H41+H45</f>
        <v>923.575135690109</v>
      </c>
      <c r="I47" s="31" t="n">
        <f aca="false">I41+I45</f>
        <v>921.180796733785</v>
      </c>
    </row>
    <row r="50" customFormat="false" ht="15" hidden="false" customHeight="true" outlineLevel="0" collapsed="false">
      <c r="A50" s="16"/>
      <c r="B50" s="16"/>
      <c r="C50" s="16"/>
      <c r="D50" s="17" t="s">
        <v>175</v>
      </c>
      <c r="E50" s="16"/>
      <c r="F50" s="16"/>
      <c r="G50" s="16"/>
      <c r="H50" s="16"/>
      <c r="I50" s="16"/>
    </row>
    <row r="51" customFormat="false" ht="15" hidden="false" customHeight="true" outlineLevel="0" collapsed="false">
      <c r="B51" s="18" t="n">
        <v>2026</v>
      </c>
      <c r="C51" s="18" t="n">
        <v>2027</v>
      </c>
      <c r="D51" s="18" t="n">
        <v>2028</v>
      </c>
      <c r="E51" s="18" t="n">
        <v>2029</v>
      </c>
      <c r="F51" s="18" t="n">
        <v>2030</v>
      </c>
      <c r="G51" s="18" t="n">
        <v>2031</v>
      </c>
      <c r="H51" s="18" t="n">
        <v>2032</v>
      </c>
      <c r="I51" s="18" t="n">
        <v>2033</v>
      </c>
    </row>
    <row r="52" customFormat="false" ht="15" hidden="false" customHeight="true" outlineLevel="0" collapsed="false">
      <c r="A52" s="19" t="s">
        <v>157</v>
      </c>
      <c r="B52" s="26" t="n">
        <f aca="false">B16</f>
        <v>0</v>
      </c>
      <c r="C52" s="26" t="n">
        <f aca="false">C16</f>
        <v>-12.672</v>
      </c>
      <c r="D52" s="26" t="n">
        <f aca="false">D16</f>
        <v>-31.98875</v>
      </c>
      <c r="E52" s="26" t="n">
        <f aca="false">E16</f>
        <v>-14.51481225</v>
      </c>
      <c r="F52" s="26" t="n">
        <f aca="false">F16</f>
        <v>5.619054255</v>
      </c>
      <c r="G52" s="26" t="n">
        <f aca="false">G16</f>
        <v>18.4129410132562</v>
      </c>
      <c r="H52" s="26" t="n">
        <f aca="false">H16</f>
        <v>26.4618423502721</v>
      </c>
      <c r="I52" s="26" t="n">
        <f aca="false">I16</f>
        <v>36.7127087955702</v>
      </c>
    </row>
    <row r="53" customFormat="false" ht="15" hidden="false" customHeight="true" outlineLevel="0" collapsed="false">
      <c r="A53" s="6" t="s">
        <v>176</v>
      </c>
      <c r="B53" s="22" t="n">
        <f aca="false">-B9</f>
        <v>0</v>
      </c>
      <c r="C53" s="22" t="n">
        <f aca="false">-C9</f>
        <v>0</v>
      </c>
      <c r="D53" s="22" t="n">
        <f aca="false">-D9</f>
        <v>44</v>
      </c>
      <c r="E53" s="22" t="n">
        <f aca="false">-E9</f>
        <v>44</v>
      </c>
      <c r="F53" s="22" t="n">
        <f aca="false">-F9</f>
        <v>45.13781525</v>
      </c>
      <c r="G53" s="22" t="n">
        <f aca="false">-G9</f>
        <v>46.5047053325</v>
      </c>
      <c r="H53" s="22" t="n">
        <f aca="false">-H9</f>
        <v>48.046461174975</v>
      </c>
      <c r="I53" s="22" t="n">
        <f aca="false">-I9</f>
        <v>49.7034071073368</v>
      </c>
    </row>
    <row r="54" customFormat="false" ht="15" hidden="false" customHeight="true" outlineLevel="0" collapsed="false">
      <c r="A54" s="6" t="s">
        <v>177</v>
      </c>
      <c r="B54" s="22" t="n">
        <f aca="false">-WorkingCapital!B8</f>
        <v>-0</v>
      </c>
      <c r="C54" s="22" t="n">
        <f aca="false">-(WorkingCapital!C8-WorkingCapital!B8)</f>
        <v>-0</v>
      </c>
      <c r="D54" s="22" t="n">
        <f aca="false">-(WorkingCapital!D8-WorkingCapital!C8)</f>
        <v>-7.56924657534247</v>
      </c>
      <c r="E54" s="22" t="n">
        <f aca="false">-(WorkingCapital!E8-WorkingCapital!D8)</f>
        <v>-1.78265958904109</v>
      </c>
      <c r="F54" s="22" t="n">
        <f aca="false">-(WorkingCapital!F8-WorkingCapital!E8)</f>
        <v>-1.88280684246575</v>
      </c>
      <c r="G54" s="22" t="n">
        <f aca="false">-(WorkingCapital!G8-WorkingCapital!F8)</f>
        <v>-1.43725282171233</v>
      </c>
      <c r="H54" s="22" t="n">
        <f aca="false">-(WorkingCapital!H8-WorkingCapital!G8)</f>
        <v>-0.946767862082876</v>
      </c>
      <c r="I54" s="22" t="n">
        <f aca="false">-(WorkingCapital!I8-WorkingCapital!H8)</f>
        <v>-0.992169164562144</v>
      </c>
    </row>
    <row r="55" customFormat="false" ht="15" hidden="false" customHeight="true" outlineLevel="0" collapsed="false">
      <c r="A55" s="6" t="s">
        <v>178</v>
      </c>
      <c r="B55" s="22" t="n">
        <f aca="false">-WorkingCapital!B9</f>
        <v>-0</v>
      </c>
      <c r="C55" s="22" t="n">
        <f aca="false">-(WorkingCapital!C9-WorkingCapital!B9)</f>
        <v>-0</v>
      </c>
      <c r="D55" s="22" t="n">
        <f aca="false">-(WorkingCapital!D9-WorkingCapital!C9)</f>
        <v>-4.54154794520548</v>
      </c>
      <c r="E55" s="22" t="n">
        <f aca="false">-(WorkingCapital!E9-WorkingCapital!D9)</f>
        <v>-1.06959575342466</v>
      </c>
      <c r="F55" s="22" t="n">
        <f aca="false">-(WorkingCapital!F9-WorkingCapital!E9)</f>
        <v>-1.12968410547945</v>
      </c>
      <c r="G55" s="22" t="n">
        <f aca="false">-(WorkingCapital!G9-WorkingCapital!F9)</f>
        <v>-0.862351693027398</v>
      </c>
      <c r="H55" s="22" t="n">
        <f aca="false">-(WorkingCapital!H9-WorkingCapital!G9)</f>
        <v>-0.568060717249724</v>
      </c>
      <c r="I55" s="22" t="n">
        <f aca="false">-(WorkingCapital!I9-WorkingCapital!H9)</f>
        <v>-0.595301498737289</v>
      </c>
    </row>
    <row r="56" customFormat="false" ht="15" hidden="false" customHeight="true" outlineLevel="0" collapsed="false">
      <c r="A56" s="6" t="s">
        <v>179</v>
      </c>
      <c r="B56" s="22" t="n">
        <f aca="false">WorkingCapital!B10</f>
        <v>0</v>
      </c>
      <c r="C56" s="22" t="n">
        <f aca="false">WorkingCapital!C10-WorkingCapital!B10</f>
        <v>0</v>
      </c>
      <c r="D56" s="22" t="n">
        <f aca="false">WorkingCapital!D10-WorkingCapital!C10</f>
        <v>6.81232191780822</v>
      </c>
      <c r="E56" s="22" t="n">
        <f aca="false">WorkingCapital!E10-WorkingCapital!D10</f>
        <v>1.60439363013699</v>
      </c>
      <c r="F56" s="22" t="n">
        <f aca="false">WorkingCapital!F10-WorkingCapital!E10</f>
        <v>1.69452615821918</v>
      </c>
      <c r="G56" s="22" t="n">
        <f aca="false">WorkingCapital!G10-WorkingCapital!F10</f>
        <v>1.2935275395411</v>
      </c>
      <c r="H56" s="22" t="n">
        <f aca="false">WorkingCapital!H10-WorkingCapital!G10</f>
        <v>0.852091075874588</v>
      </c>
      <c r="I56" s="22" t="n">
        <f aca="false">WorkingCapital!I10-WorkingCapital!H10</f>
        <v>0.89295224810593</v>
      </c>
    </row>
    <row r="57" customFormat="false" ht="15" hidden="false" customHeight="true" outlineLevel="0" collapsed="false">
      <c r="A57" s="23" t="s">
        <v>180</v>
      </c>
      <c r="B57" s="24" t="n">
        <f aca="false">B52+B53+B54+B55+B56</f>
        <v>0</v>
      </c>
      <c r="C57" s="24" t="n">
        <f aca="false">C52+C53+C54+C55+C56</f>
        <v>-12.672</v>
      </c>
      <c r="D57" s="24" t="n">
        <f aca="false">D52+D53+D54+D55+D56</f>
        <v>6.71277739726029</v>
      </c>
      <c r="E57" s="24" t="n">
        <f aca="false">E52+E53+E54+E55+E56</f>
        <v>28.2373260376712</v>
      </c>
      <c r="F57" s="24" t="n">
        <f aca="false">F52+F53+F54+F55+F56</f>
        <v>49.438904715274</v>
      </c>
      <c r="G57" s="24" t="n">
        <f aca="false">G52+G53+G54+G55+G56</f>
        <v>63.9115693705576</v>
      </c>
      <c r="H57" s="24" t="n">
        <f aca="false">H52+H53+H54+H55+H56</f>
        <v>73.8455660217891</v>
      </c>
      <c r="I57" s="24" t="n">
        <f aca="false">I52+I53+I54+I55+I56</f>
        <v>85.7215974877135</v>
      </c>
    </row>
    <row r="59" customFormat="false" ht="15" hidden="false" customHeight="true" outlineLevel="0" collapsed="false">
      <c r="A59" s="6" t="s">
        <v>181</v>
      </c>
      <c r="B59" s="22" t="n">
        <f aca="false">-CapEx!B15</f>
        <v>-384</v>
      </c>
      <c r="C59" s="22" t="n">
        <f aca="false">-CapEx!C15</f>
        <v>-440</v>
      </c>
      <c r="D59" s="22" t="n">
        <f aca="false">-CapEx!D15</f>
        <v>-176</v>
      </c>
      <c r="E59" s="22" t="n">
        <f aca="false">-CapEx!E15</f>
        <v>-22.756305</v>
      </c>
      <c r="F59" s="22" t="n">
        <f aca="false">-CapEx!F15</f>
        <v>-27.33780165</v>
      </c>
      <c r="G59" s="22" t="n">
        <f aca="false">-CapEx!G15</f>
        <v>-30.8351168495</v>
      </c>
      <c r="H59" s="22" t="n">
        <f aca="false">-CapEx!H15</f>
        <v>-33.138918647235</v>
      </c>
      <c r="I59" s="22" t="n">
        <f aca="false">-CapEx!I15</f>
        <v>-35.5531969476696</v>
      </c>
    </row>
    <row r="60" customFormat="false" ht="15" hidden="false" customHeight="true" outlineLevel="0" collapsed="false">
      <c r="A60" s="23" t="s">
        <v>182</v>
      </c>
      <c r="B60" s="24" t="n">
        <f aca="false">B59</f>
        <v>-384</v>
      </c>
      <c r="C60" s="24" t="n">
        <f aca="false">C59</f>
        <v>-440</v>
      </c>
      <c r="D60" s="24" t="n">
        <f aca="false">D59</f>
        <v>-176</v>
      </c>
      <c r="E60" s="24" t="n">
        <f aca="false">E59</f>
        <v>-22.756305</v>
      </c>
      <c r="F60" s="24" t="n">
        <f aca="false">F59</f>
        <v>-27.33780165</v>
      </c>
      <c r="G60" s="24" t="n">
        <f aca="false">G59</f>
        <v>-30.8351168495</v>
      </c>
      <c r="H60" s="24" t="n">
        <f aca="false">H59</f>
        <v>-33.138918647235</v>
      </c>
      <c r="I60" s="24" t="n">
        <f aca="false">I59</f>
        <v>-35.5531969476696</v>
      </c>
    </row>
    <row r="62" customFormat="false" ht="15" hidden="false" customHeight="true" outlineLevel="0" collapsed="false">
      <c r="A62" s="6" t="s">
        <v>183</v>
      </c>
      <c r="B62" s="22" t="n">
        <f aca="false">Debt!B9-Debt!B10</f>
        <v>230.4</v>
      </c>
      <c r="C62" s="22" t="n">
        <f aca="false">Debt!C9-Debt!C10</f>
        <v>264</v>
      </c>
      <c r="D62" s="22" t="n">
        <f aca="false">Debt!D9-Debt!D10</f>
        <v>105.6</v>
      </c>
      <c r="E62" s="22" t="n">
        <f aca="false">Debt!E9-Debt!E10</f>
        <v>-40</v>
      </c>
      <c r="F62" s="22" t="n">
        <f aca="false">Debt!F9-Debt!F10</f>
        <v>-40</v>
      </c>
      <c r="G62" s="22" t="n">
        <f aca="false">Debt!G9-Debt!G10</f>
        <v>-40</v>
      </c>
      <c r="H62" s="22" t="n">
        <f aca="false">Debt!H9-Debt!H10</f>
        <v>-40</v>
      </c>
      <c r="I62" s="22" t="n">
        <f aca="false">Debt!I9-Debt!I10</f>
        <v>-40</v>
      </c>
    </row>
    <row r="63" customFormat="false" ht="15" hidden="false" customHeight="true" outlineLevel="0" collapsed="false">
      <c r="A63" s="6" t="s">
        <v>184</v>
      </c>
      <c r="B63" s="22" t="n">
        <f aca="false">B43</f>
        <v>233.6</v>
      </c>
      <c r="C63" s="22" t="n">
        <f aca="false">C43-B43</f>
        <v>176</v>
      </c>
      <c r="D63" s="22" t="n">
        <f aca="false">D43-C43</f>
        <v>70.4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</row>
    <row r="64" customFormat="false" ht="15" hidden="false" customHeight="true" outlineLevel="0" collapsed="false">
      <c r="A64" s="6" t="s">
        <v>185</v>
      </c>
      <c r="B64" s="22" t="n">
        <v>0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</row>
    <row r="65" customFormat="false" ht="15" hidden="false" customHeight="true" outlineLevel="0" collapsed="false">
      <c r="A65" s="23" t="s">
        <v>186</v>
      </c>
      <c r="B65" s="24" t="n">
        <f aca="false">B62+B63+B64</f>
        <v>464</v>
      </c>
      <c r="C65" s="24" t="n">
        <f aca="false">C62+C63+C64</f>
        <v>440</v>
      </c>
      <c r="D65" s="24" t="n">
        <f aca="false">D62+D63+D64</f>
        <v>176</v>
      </c>
      <c r="E65" s="24" t="n">
        <f aca="false">E62+E63+E64</f>
        <v>-40</v>
      </c>
      <c r="F65" s="24" t="n">
        <f aca="false">F62+F63+F64</f>
        <v>-40</v>
      </c>
      <c r="G65" s="24" t="n">
        <f aca="false">G62+G63+G64</f>
        <v>-40</v>
      </c>
      <c r="H65" s="24" t="n">
        <f aca="false">H62+H63+H64</f>
        <v>-40</v>
      </c>
      <c r="I65" s="24" t="n">
        <f aca="false">I62+I63+I64</f>
        <v>-40</v>
      </c>
    </row>
    <row r="67" customFormat="false" ht="15" hidden="false" customHeight="true" outlineLevel="0" collapsed="false">
      <c r="A67" s="23" t="s">
        <v>187</v>
      </c>
      <c r="B67" s="24" t="n">
        <f aca="false">B57+B60+B65</f>
        <v>80</v>
      </c>
      <c r="C67" s="24" t="n">
        <f aca="false">C57+C60+C65</f>
        <v>-12.672</v>
      </c>
      <c r="D67" s="24" t="n">
        <f aca="false">D57+D60+D65</f>
        <v>6.71277739726025</v>
      </c>
      <c r="E67" s="24" t="n">
        <f aca="false">E57+E60+E65</f>
        <v>-34.5189789623288</v>
      </c>
      <c r="F67" s="24" t="n">
        <f aca="false">F57+F60+F65</f>
        <v>-17.898896934726</v>
      </c>
      <c r="G67" s="24" t="n">
        <f aca="false">G57+G60+G65</f>
        <v>-6.92354747894241</v>
      </c>
      <c r="H67" s="24" t="n">
        <f aca="false">H57+H60+H65</f>
        <v>0.706647374554095</v>
      </c>
      <c r="I67" s="24" t="n">
        <f aca="false">I57+I60+I65</f>
        <v>10.1684005400439</v>
      </c>
    </row>
    <row r="68" customFormat="false" ht="15" hidden="false" customHeight="true" outlineLevel="0" collapsed="false">
      <c r="A68" s="6" t="s">
        <v>188</v>
      </c>
      <c r="B68" s="22" t="n">
        <v>0</v>
      </c>
      <c r="C68" s="22" t="n">
        <f aca="false">B69</f>
        <v>80</v>
      </c>
      <c r="D68" s="22" t="n">
        <f aca="false">C69</f>
        <v>67.328</v>
      </c>
      <c r="E68" s="22" t="n">
        <f aca="false">D69</f>
        <v>74.0407773972602</v>
      </c>
      <c r="F68" s="22" t="n">
        <f aca="false">E69</f>
        <v>39.5217984349315</v>
      </c>
      <c r="G68" s="22" t="n">
        <f aca="false">F69</f>
        <v>21.6229015002054</v>
      </c>
      <c r="H68" s="22" t="n">
        <f aca="false">G69</f>
        <v>14.699354021263</v>
      </c>
      <c r="I68" s="22" t="n">
        <f aca="false">H69</f>
        <v>15.4060013958171</v>
      </c>
    </row>
    <row r="69" customFormat="false" ht="15" hidden="false" customHeight="true" outlineLevel="0" collapsed="false">
      <c r="A69" s="30" t="s">
        <v>189</v>
      </c>
      <c r="B69" s="31" t="n">
        <f aca="false">B68+B67</f>
        <v>80</v>
      </c>
      <c r="C69" s="31" t="n">
        <f aca="false">C68+C67</f>
        <v>67.328</v>
      </c>
      <c r="D69" s="31" t="n">
        <f aca="false">D68+D67</f>
        <v>74.0407773972602</v>
      </c>
      <c r="E69" s="31" t="n">
        <f aca="false">E68+E67</f>
        <v>39.5217984349315</v>
      </c>
      <c r="F69" s="31" t="n">
        <f aca="false">F68+F67</f>
        <v>21.6229015002054</v>
      </c>
      <c r="G69" s="31" t="n">
        <f aca="false">G68+G67</f>
        <v>14.699354021263</v>
      </c>
      <c r="H69" s="31" t="n">
        <f aca="false">H68+H67</f>
        <v>15.4060013958171</v>
      </c>
      <c r="I69" s="31" t="n">
        <f aca="false">I68+I67</f>
        <v>25.5744019358611</v>
      </c>
    </row>
    <row r="71" customFormat="false" ht="15" hidden="false" customHeight="true" outlineLevel="0" collapsed="false">
      <c r="A71" s="32" t="s">
        <v>190</v>
      </c>
      <c r="B71" s="33" t="n">
        <f aca="false">B30-B47</f>
        <v>0</v>
      </c>
      <c r="C71" s="33" t="n">
        <f aca="false">C30-C47</f>
        <v>0</v>
      </c>
      <c r="D71" s="33" t="n">
        <f aca="false">D30-D47</f>
        <v>0</v>
      </c>
      <c r="E71" s="33" t="n">
        <f aca="false">E30-E47</f>
        <v>0</v>
      </c>
      <c r="F71" s="33" t="n">
        <f aca="false">F30-F47</f>
        <v>0</v>
      </c>
      <c r="G71" s="33" t="n">
        <f aca="false">G30-G47</f>
        <v>0</v>
      </c>
      <c r="H71" s="33" t="n">
        <f aca="false">H30-H47</f>
        <v>0</v>
      </c>
      <c r="I71" s="33" t="n">
        <f aca="false">I30-I47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191</v>
      </c>
    </row>
    <row r="3" customFormat="false" ht="15" hidden="false" customHeight="true" outlineLevel="0" collapsed="false">
      <c r="A3" s="16"/>
      <c r="B3" s="16"/>
      <c r="C3" s="16"/>
      <c r="D3" s="17" t="s">
        <v>192</v>
      </c>
      <c r="E3" s="16"/>
      <c r="F3" s="16"/>
      <c r="G3" s="16"/>
      <c r="H3" s="16"/>
      <c r="I3" s="16"/>
    </row>
    <row r="4" customFormat="false" ht="15" hidden="false" customHeight="true" outlineLevel="0" collapsed="false">
      <c r="B4" s="18" t="n">
        <v>2026</v>
      </c>
      <c r="C4" s="18" t="n">
        <v>2027</v>
      </c>
      <c r="D4" s="18" t="n">
        <v>2028</v>
      </c>
      <c r="E4" s="18" t="n">
        <v>2029</v>
      </c>
      <c r="F4" s="18" t="n">
        <v>2030</v>
      </c>
      <c r="G4" s="18" t="n">
        <v>2031</v>
      </c>
      <c r="H4" s="18" t="n">
        <v>2032</v>
      </c>
      <c r="I4" s="18" t="n">
        <v>2033</v>
      </c>
    </row>
    <row r="5" customFormat="false" ht="15" hidden="false" customHeight="true" outlineLevel="0" collapsed="false">
      <c r="A5" s="6" t="s">
        <v>193</v>
      </c>
      <c r="B5" s="22" t="n">
        <f aca="false">Statements!B12</f>
        <v>0</v>
      </c>
      <c r="C5" s="22" t="n">
        <f aca="false">Statements!C12</f>
        <v>0</v>
      </c>
      <c r="D5" s="22" t="n">
        <f aca="false">Statements!D12</f>
        <v>-4.79674999999998</v>
      </c>
      <c r="E5" s="22" t="n">
        <f aca="false">Statements!E12</f>
        <v>18.48518775</v>
      </c>
      <c r="F5" s="22" t="n">
        <f aca="false">Statements!F12</f>
        <v>38.29207234</v>
      </c>
      <c r="G5" s="22" t="n">
        <f aca="false">Statements!G12</f>
        <v>53.150588017675</v>
      </c>
      <c r="H5" s="22" t="n">
        <f aca="false">Statements!H12</f>
        <v>61.6824564670295</v>
      </c>
      <c r="I5" s="22" t="n">
        <f aca="false">Statements!I12</f>
        <v>73.1502783940937</v>
      </c>
    </row>
    <row r="6" customFormat="false" ht="15" hidden="false" customHeight="true" outlineLevel="0" collapsed="false">
      <c r="A6" s="6" t="s">
        <v>194</v>
      </c>
      <c r="B6" s="22" t="n">
        <f aca="false">CapEx!B24</f>
        <v>0</v>
      </c>
      <c r="C6" s="22" t="n">
        <f aca="false">CapEx!C24</f>
        <v>0</v>
      </c>
      <c r="D6" s="22" t="n">
        <f aca="false">CapEx!D24</f>
        <v>44</v>
      </c>
      <c r="E6" s="22" t="n">
        <f aca="false">CapEx!E24</f>
        <v>44</v>
      </c>
      <c r="F6" s="22" t="n">
        <f aca="false">CapEx!F24</f>
        <v>45.13781525</v>
      </c>
      <c r="G6" s="22" t="n">
        <f aca="false">CapEx!G24</f>
        <v>46.5047053325</v>
      </c>
      <c r="H6" s="22" t="n">
        <f aca="false">CapEx!H24</f>
        <v>48.046461174975</v>
      </c>
      <c r="I6" s="22" t="n">
        <f aca="false">CapEx!I24</f>
        <v>49.7034071073368</v>
      </c>
    </row>
    <row r="7" customFormat="false" ht="15" hidden="false" customHeight="true" outlineLevel="0" collapsed="false">
      <c r="A7" s="6" t="s">
        <v>195</v>
      </c>
      <c r="B7" s="22" t="n">
        <f aca="false">-MAX(B5,0)*Assumptions!B53</f>
        <v>-0</v>
      </c>
      <c r="C7" s="22" t="n">
        <f aca="false">-MAX(C5,0)*Assumptions!B53</f>
        <v>-0</v>
      </c>
      <c r="D7" s="22" t="n">
        <f aca="false">-MAX(D5,0)*Assumptions!B53</f>
        <v>-0</v>
      </c>
      <c r="E7" s="22" t="n">
        <f aca="false">-MAX(E5,0)*Assumptions!B53</f>
        <v>-4.6212969375</v>
      </c>
      <c r="F7" s="22" t="n">
        <f aca="false">-MAX(F5,0)*Assumptions!B53</f>
        <v>-9.573018085</v>
      </c>
      <c r="G7" s="22" t="n">
        <f aca="false">-MAX(G5,0)*Assumptions!B53</f>
        <v>-13.2876470044187</v>
      </c>
      <c r="H7" s="22" t="n">
        <f aca="false">-MAX(H5,0)*Assumptions!B53</f>
        <v>-15.4206141167574</v>
      </c>
      <c r="I7" s="22" t="n">
        <f aca="false">-MAX(I5,0)*Assumptions!B53</f>
        <v>-18.2875695985234</v>
      </c>
    </row>
    <row r="8" customFormat="false" ht="15" hidden="false" customHeight="true" outlineLevel="0" collapsed="false">
      <c r="A8" s="6" t="s">
        <v>196</v>
      </c>
      <c r="B8" s="22" t="n">
        <f aca="false">-CapEx!B15</f>
        <v>-384</v>
      </c>
      <c r="C8" s="22" t="n">
        <f aca="false">-CapEx!C15</f>
        <v>-440</v>
      </c>
      <c r="D8" s="22" t="n">
        <f aca="false">-CapEx!D15</f>
        <v>-176</v>
      </c>
      <c r="E8" s="22" t="n">
        <f aca="false">-CapEx!E15</f>
        <v>-22.756305</v>
      </c>
      <c r="F8" s="22" t="n">
        <f aca="false">-CapEx!F15</f>
        <v>-27.33780165</v>
      </c>
      <c r="G8" s="22" t="n">
        <f aca="false">-CapEx!G15</f>
        <v>-30.8351168495</v>
      </c>
      <c r="H8" s="22" t="n">
        <f aca="false">-CapEx!H15</f>
        <v>-33.138918647235</v>
      </c>
      <c r="I8" s="22" t="n">
        <f aca="false">-CapEx!I15</f>
        <v>-35.5531969476696</v>
      </c>
    </row>
    <row r="9" customFormat="false" ht="15" hidden="false" customHeight="true" outlineLevel="0" collapsed="false">
      <c r="A9" s="6" t="s">
        <v>197</v>
      </c>
      <c r="B9" s="22" t="n">
        <f aca="false">-WorkingCapital!B14</f>
        <v>-0</v>
      </c>
      <c r="C9" s="22" t="n">
        <f aca="false">-WorkingCapital!C14</f>
        <v>-0</v>
      </c>
      <c r="D9" s="22" t="n">
        <f aca="false">-WorkingCapital!D14</f>
        <v>-5.29847260273973</v>
      </c>
      <c r="E9" s="22" t="n">
        <f aca="false">-WorkingCapital!E14</f>
        <v>-1.24786171232877</v>
      </c>
      <c r="F9" s="22" t="n">
        <f aca="false">-WorkingCapital!F14</f>
        <v>-1.31796478972603</v>
      </c>
      <c r="G9" s="22" t="n">
        <f aca="false">-WorkingCapital!G14</f>
        <v>-1.00607697519863</v>
      </c>
      <c r="H9" s="22" t="n">
        <f aca="false">-WorkingCapital!H14</f>
        <v>-0.662737503458013</v>
      </c>
      <c r="I9" s="22" t="n">
        <f aca="false">-WorkingCapital!I14</f>
        <v>-0.694518415193501</v>
      </c>
    </row>
    <row r="10" customFormat="false" ht="15" hidden="false" customHeight="true" outlineLevel="0" collapsed="false">
      <c r="A10" s="23" t="s">
        <v>198</v>
      </c>
      <c r="B10" s="24" t="n">
        <f aca="false">B5+B6+B7+B8+B9</f>
        <v>-384</v>
      </c>
      <c r="C10" s="24" t="n">
        <f aca="false">C5+C6+C7+C8+C9</f>
        <v>-440</v>
      </c>
      <c r="D10" s="24" t="n">
        <f aca="false">D5+D6+D7+D8+D9</f>
        <v>-142.09522260274</v>
      </c>
      <c r="E10" s="24" t="n">
        <f aca="false">E5+E6+E7+E8+E9</f>
        <v>33.8597241001712</v>
      </c>
      <c r="F10" s="24" t="n">
        <f aca="false">F5+F6+F7+F8+F9</f>
        <v>45.201103065274</v>
      </c>
      <c r="G10" s="24" t="n">
        <f aca="false">G5+G6+G7+G8+G9</f>
        <v>54.5264525210576</v>
      </c>
      <c r="H10" s="24" t="n">
        <f aca="false">H5+H6+H7+H8+H9</f>
        <v>60.5066473745541</v>
      </c>
      <c r="I10" s="24" t="n">
        <f aca="false">I5+I6+I7+I8+I9</f>
        <v>68.3184005400439</v>
      </c>
    </row>
    <row r="12" customFormat="false" ht="15" hidden="false" customHeight="true" outlineLevel="0" collapsed="false">
      <c r="A12" s="6" t="s">
        <v>199</v>
      </c>
      <c r="B12" s="22" t="n">
        <f aca="false">B10</f>
        <v>-384</v>
      </c>
      <c r="C12" s="22" t="n">
        <f aca="false">C10</f>
        <v>-440</v>
      </c>
      <c r="D12" s="22" t="n">
        <f aca="false">D10</f>
        <v>-142.09522260274</v>
      </c>
      <c r="E12" s="22" t="n">
        <f aca="false">E10</f>
        <v>33.8597241001712</v>
      </c>
      <c r="F12" s="22" t="n">
        <f aca="false">F10</f>
        <v>45.201103065274</v>
      </c>
      <c r="G12" s="22" t="n">
        <f aca="false">G10</f>
        <v>54.5264525210576</v>
      </c>
      <c r="H12" s="22" t="n">
        <f aca="false">H10</f>
        <v>60.5066473745541</v>
      </c>
      <c r="I12" s="22" t="n">
        <f aca="false">I10</f>
        <v>68.3184005400439</v>
      </c>
    </row>
    <row r="13" customFormat="false" ht="15" hidden="false" customHeight="true" outlineLevel="0" collapsed="false">
      <c r="A13" s="6" t="s">
        <v>200</v>
      </c>
      <c r="B13" s="22" t="n">
        <f aca="false">Debt!B9</f>
        <v>230.4</v>
      </c>
      <c r="C13" s="22" t="n">
        <f aca="false">Debt!C9</f>
        <v>264</v>
      </c>
      <c r="D13" s="22" t="n">
        <f aca="false">Debt!D9</f>
        <v>105.6</v>
      </c>
      <c r="E13" s="22" t="n">
        <f aca="false">Debt!E9</f>
        <v>0</v>
      </c>
      <c r="F13" s="22" t="n">
        <f aca="false">Debt!F9</f>
        <v>0</v>
      </c>
      <c r="G13" s="22" t="n">
        <f aca="false">Debt!G9</f>
        <v>0</v>
      </c>
      <c r="H13" s="22" t="n">
        <f aca="false">Debt!H9</f>
        <v>0</v>
      </c>
      <c r="I13" s="22" t="n">
        <f aca="false">Debt!I9</f>
        <v>0</v>
      </c>
    </row>
    <row r="14" customFormat="false" ht="15" hidden="false" customHeight="true" outlineLevel="0" collapsed="false">
      <c r="A14" s="6" t="s">
        <v>106</v>
      </c>
      <c r="B14" s="22" t="n">
        <f aca="false">-Debt!B10</f>
        <v>-0</v>
      </c>
      <c r="C14" s="22" t="n">
        <f aca="false">-Debt!C10</f>
        <v>-0</v>
      </c>
      <c r="D14" s="22" t="n">
        <f aca="false">-Debt!D10</f>
        <v>-0</v>
      </c>
      <c r="E14" s="22" t="n">
        <f aca="false">-Debt!E10</f>
        <v>-40</v>
      </c>
      <c r="F14" s="22" t="n">
        <f aca="false">-Debt!F10</f>
        <v>-40</v>
      </c>
      <c r="G14" s="22" t="n">
        <f aca="false">-Debt!G10</f>
        <v>-40</v>
      </c>
      <c r="H14" s="22" t="n">
        <f aca="false">-Debt!H10</f>
        <v>-40</v>
      </c>
      <c r="I14" s="22" t="n">
        <f aca="false">-Debt!I10</f>
        <v>-40</v>
      </c>
    </row>
    <row r="15" customFormat="false" ht="15" hidden="false" customHeight="true" outlineLevel="0" collapsed="false">
      <c r="A15" s="6" t="s">
        <v>201</v>
      </c>
      <c r="B15" s="22" t="n">
        <f aca="false">-Debt!B14*(1-Assumptions!B53)</f>
        <v>-0</v>
      </c>
      <c r="C15" s="22" t="n">
        <f aca="false">-Debt!C14*(1-Assumptions!B53)</f>
        <v>-9.504</v>
      </c>
      <c r="D15" s="22" t="n">
        <f aca="false">-Debt!D14*(1-Assumptions!B53)</f>
        <v>-20.394</v>
      </c>
      <c r="E15" s="22" t="n">
        <f aca="false">-Debt!E14*(1-Assumptions!B53)</f>
        <v>-24.75</v>
      </c>
      <c r="F15" s="22" t="n">
        <f aca="false">-Debt!F14*(1-Assumptions!B53)</f>
        <v>-23.1</v>
      </c>
      <c r="G15" s="22" t="n">
        <f aca="false">-Debt!G14*(1-Assumptions!B53)</f>
        <v>-21.45</v>
      </c>
      <c r="H15" s="22" t="n">
        <f aca="false">-Debt!H14*(1-Assumptions!B53)</f>
        <v>-19.8</v>
      </c>
      <c r="I15" s="22" t="n">
        <f aca="false">-Debt!I14*(1-Assumptions!B53)</f>
        <v>-18.15</v>
      </c>
    </row>
    <row r="16" customFormat="false" ht="15" hidden="false" customHeight="true" outlineLevel="0" collapsed="false">
      <c r="A16" s="23" t="s">
        <v>202</v>
      </c>
      <c r="B16" s="24" t="n">
        <f aca="false">B12+B13+B14+B15</f>
        <v>-153.6</v>
      </c>
      <c r="C16" s="24" t="n">
        <f aca="false">C12+C13+C14+C15</f>
        <v>-185.504</v>
      </c>
      <c r="D16" s="24" t="n">
        <f aca="false">D12+D13+D14+D15</f>
        <v>-56.8892226027397</v>
      </c>
      <c r="E16" s="24" t="n">
        <f aca="false">E12+E13+E14+E15</f>
        <v>-30.8902758998288</v>
      </c>
      <c r="F16" s="24" t="n">
        <f aca="false">F12+F13+F14+F15</f>
        <v>-17.898896934726</v>
      </c>
      <c r="G16" s="24" t="n">
        <f aca="false">G12+G13+G14+G15</f>
        <v>-6.9235474789424</v>
      </c>
      <c r="H16" s="24" t="n">
        <f aca="false">H12+H13+H14+H15</f>
        <v>0.706647374554102</v>
      </c>
      <c r="I16" s="24" t="n">
        <f aca="false">I12+I13+I14+I15</f>
        <v>10.1684005400439</v>
      </c>
    </row>
    <row r="18" customFormat="false" ht="15" hidden="false" customHeight="true" outlineLevel="0" collapsed="false">
      <c r="A18" s="16"/>
      <c r="B18" s="16"/>
      <c r="C18" s="16"/>
      <c r="D18" s="17" t="s">
        <v>203</v>
      </c>
      <c r="E18" s="16"/>
      <c r="F18" s="16"/>
      <c r="G18" s="16"/>
      <c r="H18" s="16"/>
      <c r="I18" s="16"/>
    </row>
    <row r="19" customFormat="false" ht="15" hidden="false" customHeight="true" outlineLevel="0" collapsed="false">
      <c r="A19" s="19" t="s">
        <v>66</v>
      </c>
      <c r="B19" s="29" t="n">
        <f aca="false">Assumptions!B60</f>
        <v>0.07275</v>
      </c>
    </row>
    <row r="20" customFormat="false" ht="15" hidden="false" customHeight="true" outlineLevel="0" collapsed="false">
      <c r="A20" s="19" t="s">
        <v>204</v>
      </c>
      <c r="B20" s="26" t="n">
        <f aca="false">NPV(B19,C10:I10)+B10</f>
        <v>-736.207227456963</v>
      </c>
    </row>
    <row r="21" customFormat="false" ht="15" hidden="false" customHeight="true" outlineLevel="0" collapsed="false">
      <c r="A21" s="19" t="s">
        <v>205</v>
      </c>
      <c r="B21" s="34" t="str">
        <f aca="false">IFERROR(IRR(B10:I10),"N/A - extend projection")</f>
        <v>N/A - extend projection</v>
      </c>
    </row>
    <row r="22" customFormat="false" ht="15" hidden="false" customHeight="true" outlineLevel="0" collapsed="false">
      <c r="A22" s="19" t="s">
        <v>206</v>
      </c>
      <c r="B22" s="26" t="n">
        <f aca="false">NPV(Assumptions!B58,C16:I16)+B16</f>
        <v>-396.913401425868</v>
      </c>
    </row>
    <row r="23" customFormat="false" ht="15" hidden="false" customHeight="true" outlineLevel="0" collapsed="false">
      <c r="A23" s="19" t="s">
        <v>207</v>
      </c>
      <c r="B23" s="34" t="str">
        <f aca="false">IFERROR(IRR(B16:I16),"N/A - extend projection")</f>
        <v>N/A - extend projection</v>
      </c>
    </row>
    <row r="25" customFormat="false" ht="15" hidden="false" customHeight="true" outlineLevel="0" collapsed="false">
      <c r="A25" s="25" t="s">
        <v>208</v>
      </c>
    </row>
    <row r="26" customFormat="false" ht="15" hidden="false" customHeight="true" outlineLevel="0" collapsed="false">
      <c r="A26" s="6" t="s">
        <v>209</v>
      </c>
      <c r="B26" s="9" t="n">
        <v>0.02</v>
      </c>
    </row>
    <row r="27" customFormat="false" ht="15" hidden="false" customHeight="true" outlineLevel="0" collapsed="false">
      <c r="A27" s="6" t="s">
        <v>210</v>
      </c>
      <c r="B27" s="22" t="n">
        <f aca="false">I10*(1+B26)</f>
        <v>69.6847685508448</v>
      </c>
    </row>
    <row r="28" customFormat="false" ht="15" hidden="false" customHeight="true" outlineLevel="0" collapsed="false">
      <c r="A28" s="19" t="s">
        <v>211</v>
      </c>
      <c r="B28" s="26" t="n">
        <f aca="false">B27/(B19-B26)</f>
        <v>1321.03826636673</v>
      </c>
    </row>
    <row r="29" customFormat="false" ht="15" hidden="false" customHeight="true" outlineLevel="0" collapsed="false">
      <c r="A29" s="19" t="s">
        <v>212</v>
      </c>
      <c r="B29" s="26" t="n">
        <f aca="false">B28/(1+B19)^8</f>
        <v>753.229312049058</v>
      </c>
    </row>
    <row r="30" customFormat="false" ht="15" hidden="false" customHeight="true" outlineLevel="0" collapsed="false">
      <c r="A30" s="19" t="s">
        <v>213</v>
      </c>
      <c r="B30" s="35" t="n">
        <f aca="false">B20+B29</f>
        <v>17.0220845920951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214</v>
      </c>
    </row>
    <row r="3" customFormat="false" ht="15" hidden="false" customHeight="true" outlineLevel="0" collapsed="false">
      <c r="A3" s="16"/>
      <c r="B3" s="16"/>
      <c r="C3" s="16"/>
      <c r="D3" s="17" t="s">
        <v>215</v>
      </c>
      <c r="E3" s="16"/>
      <c r="F3" s="16"/>
      <c r="G3" s="16"/>
      <c r="H3" s="16"/>
      <c r="I3" s="16"/>
    </row>
    <row r="4" customFormat="false" ht="15" hidden="false" customHeight="true" outlineLevel="0" collapsed="false">
      <c r="A4" s="19"/>
      <c r="B4" s="36" t="s">
        <v>216</v>
      </c>
      <c r="C4" s="36" t="s">
        <v>217</v>
      </c>
      <c r="D4" s="36" t="s">
        <v>218</v>
      </c>
    </row>
    <row r="5" customFormat="false" ht="15" hidden="false" customHeight="true" outlineLevel="0" collapsed="false">
      <c r="A5" s="6" t="s">
        <v>219</v>
      </c>
      <c r="B5" s="37" t="n">
        <v>2.5</v>
      </c>
      <c r="C5" s="37" t="n">
        <v>3.5</v>
      </c>
      <c r="D5" s="37" t="n">
        <v>5</v>
      </c>
    </row>
    <row r="6" customFormat="false" ht="15" hidden="false" customHeight="true" outlineLevel="0" collapsed="false">
      <c r="A6" s="6" t="s">
        <v>15</v>
      </c>
      <c r="B6" s="37" t="n">
        <v>35</v>
      </c>
      <c r="C6" s="37" t="n">
        <v>42</v>
      </c>
      <c r="D6" s="37" t="n">
        <v>48</v>
      </c>
    </row>
    <row r="7" customFormat="false" ht="15" hidden="false" customHeight="true" outlineLevel="0" collapsed="false">
      <c r="A7" s="6" t="s">
        <v>17</v>
      </c>
      <c r="B7" s="37" t="n">
        <v>22</v>
      </c>
      <c r="C7" s="37" t="n">
        <v>28</v>
      </c>
      <c r="D7" s="37" t="n">
        <v>35</v>
      </c>
    </row>
    <row r="8" customFormat="false" ht="15" hidden="false" customHeight="true" outlineLevel="0" collapsed="false">
      <c r="A8" s="6" t="s">
        <v>21</v>
      </c>
      <c r="B8" s="9" t="n">
        <v>0.55</v>
      </c>
      <c r="C8" s="9" t="n">
        <v>0.65</v>
      </c>
      <c r="D8" s="9" t="n">
        <v>0.75</v>
      </c>
    </row>
    <row r="9" customFormat="false" ht="15" hidden="false" customHeight="true" outlineLevel="0" collapsed="false">
      <c r="A9" s="6" t="s">
        <v>24</v>
      </c>
      <c r="B9" s="9" t="n">
        <v>0.33</v>
      </c>
      <c r="C9" s="9" t="n">
        <v>0.3</v>
      </c>
      <c r="D9" s="9" t="n">
        <v>0.27</v>
      </c>
    </row>
    <row r="10" customFormat="false" ht="15" hidden="false" customHeight="true" outlineLevel="0" collapsed="false">
      <c r="A10" s="6" t="s">
        <v>220</v>
      </c>
      <c r="B10" s="9" t="n">
        <v>0.28</v>
      </c>
      <c r="C10" s="9" t="n">
        <v>0.25</v>
      </c>
      <c r="D10" s="9" t="n">
        <v>0.22</v>
      </c>
    </row>
    <row r="11" customFormat="false" ht="15" hidden="false" customHeight="true" outlineLevel="0" collapsed="false">
      <c r="A11" s="6" t="s">
        <v>221</v>
      </c>
      <c r="B11" s="9" t="n">
        <v>0.065</v>
      </c>
      <c r="C11" s="9" t="n">
        <v>0.055</v>
      </c>
      <c r="D11" s="9" t="n">
        <v>0.045</v>
      </c>
    </row>
    <row r="13" customFormat="false" ht="15" hidden="false" customHeight="true" outlineLevel="0" collapsed="false">
      <c r="A13" s="25" t="s">
        <v>222</v>
      </c>
    </row>
    <row r="14" customFormat="false" ht="15" hidden="false" customHeight="true" outlineLevel="0" collapsed="false">
      <c r="A14" s="19" t="s">
        <v>204</v>
      </c>
      <c r="B14" s="38"/>
      <c r="C14" s="38"/>
      <c r="D14" s="38"/>
    </row>
    <row r="15" customFormat="false" ht="15" hidden="false" customHeight="true" outlineLevel="0" collapsed="false">
      <c r="A15" s="19" t="s">
        <v>205</v>
      </c>
      <c r="B15" s="38"/>
      <c r="C15" s="38"/>
      <c r="D15" s="38"/>
    </row>
    <row r="16" customFormat="false" ht="15" hidden="false" customHeight="true" outlineLevel="0" collapsed="false">
      <c r="A16" s="19" t="s">
        <v>223</v>
      </c>
      <c r="B16" s="38"/>
      <c r="C16" s="38"/>
      <c r="D16" s="38"/>
    </row>
    <row r="17" customFormat="false" ht="15" hidden="false" customHeight="true" outlineLevel="0" collapsed="false">
      <c r="A17" s="19" t="s">
        <v>224</v>
      </c>
      <c r="B17" s="38"/>
      <c r="C17" s="38"/>
      <c r="D17" s="38"/>
    </row>
    <row r="20" customFormat="false" ht="15" hidden="false" customHeight="true" outlineLevel="0" collapsed="false">
      <c r="A20" s="25" t="s">
        <v>225</v>
      </c>
    </row>
    <row r="21" customFormat="false" ht="15" hidden="false" customHeight="true" outlineLevel="0" collapsed="false">
      <c r="A21" s="6" t="s">
        <v>226</v>
      </c>
    </row>
    <row r="22" customFormat="false" ht="15" hidden="false" customHeight="true" outlineLevel="0" collapsed="false">
      <c r="A22" s="19"/>
      <c r="B22" s="36" t="s">
        <v>227</v>
      </c>
      <c r="C22" s="36" t="s">
        <v>228</v>
      </c>
      <c r="D22" s="36" t="s">
        <v>217</v>
      </c>
      <c r="E22" s="36" t="s">
        <v>229</v>
      </c>
      <c r="F22" s="36" t="s">
        <v>230</v>
      </c>
    </row>
    <row r="23" customFormat="false" ht="15" hidden="false" customHeight="true" outlineLevel="0" collapsed="false">
      <c r="A23" s="6" t="s">
        <v>231</v>
      </c>
      <c r="B23" s="38"/>
      <c r="C23" s="38"/>
      <c r="D23" s="38"/>
      <c r="E23" s="38"/>
      <c r="F23" s="38"/>
    </row>
    <row r="24" customFormat="false" ht="15" hidden="false" customHeight="true" outlineLevel="0" collapsed="false">
      <c r="A24" s="6" t="s">
        <v>232</v>
      </c>
      <c r="B24" s="38"/>
      <c r="C24" s="38"/>
      <c r="D24" s="38"/>
      <c r="E24" s="38"/>
      <c r="F24" s="38"/>
    </row>
    <row r="25" customFormat="false" ht="15" hidden="false" customHeight="true" outlineLevel="0" collapsed="false">
      <c r="A25" s="6" t="s">
        <v>233</v>
      </c>
      <c r="B25" s="38"/>
      <c r="C25" s="38"/>
      <c r="D25" s="38"/>
      <c r="E25" s="38"/>
      <c r="F25" s="38"/>
    </row>
    <row r="26" customFormat="false" ht="15" hidden="false" customHeight="true" outlineLevel="0" collapsed="false">
      <c r="A26" s="6" t="s">
        <v>221</v>
      </c>
      <c r="B26" s="38"/>
      <c r="C26" s="38"/>
      <c r="D26" s="38"/>
      <c r="E26" s="38"/>
      <c r="F26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2026-04-15T15:10:23Z</dcterms:created>
  <dc:creator>openpyxl</dc:creator>
  <dc:description/>
  <dc:language>en-US</dc:language>
  <cp:lastModifiedBy/>
  <dcterms:modified xsi:type="dcterms:W3CDTF">2026-04-15T15:12:36Z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